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LENOVO\Downloads\"/>
    </mc:Choice>
  </mc:AlternateContent>
  <bookViews>
    <workbookView xWindow="0" yWindow="0" windowWidth="16392" windowHeight="5328" firstSheet="1" activeTab="3"/>
  </bookViews>
  <sheets>
    <sheet name="Supermarket_Data" sheetId="1" r:id="rId1"/>
    <sheet name="QUESTIONS" sheetId="2" r:id="rId2"/>
    <sheet name=" PIVOT TABLES &amp; CHARTS" sheetId="3" r:id="rId3"/>
    <sheet name="DASHBOARD" sheetId="4" r:id="rId4"/>
  </sheets>
  <definedNames>
    <definedName name="Slicer_Category">#N/A</definedName>
    <definedName name="Slicer_Month">#N/A</definedName>
  </definedNames>
  <calcPr calcId="162913"/>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K3" i="1" l="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 i="1"/>
</calcChain>
</file>

<file path=xl/sharedStrings.xml><?xml version="1.0" encoding="utf-8"?>
<sst xmlns="http://schemas.openxmlformats.org/spreadsheetml/2006/main" count="1392" uniqueCount="332">
  <si>
    <t>Date</t>
  </si>
  <si>
    <t>Bill_No</t>
  </si>
  <si>
    <t>Product_Name</t>
  </si>
  <si>
    <t>Category</t>
  </si>
  <si>
    <t>Quantity</t>
  </si>
  <si>
    <t>Unit_Price</t>
  </si>
  <si>
    <t>Payment_Mode</t>
  </si>
  <si>
    <t>Total_Amount</t>
  </si>
  <si>
    <t>Month</t>
  </si>
  <si>
    <t>Day_Name</t>
  </si>
  <si>
    <t>B001</t>
  </si>
  <si>
    <t>Eggs</t>
  </si>
  <si>
    <t>Poultry</t>
  </si>
  <si>
    <t>UPI</t>
  </si>
  <si>
    <t>Mar</t>
  </si>
  <si>
    <t>Wednesday</t>
  </si>
  <si>
    <t>B002</t>
  </si>
  <si>
    <t>Onion</t>
  </si>
  <si>
    <t>Vegetables</t>
  </si>
  <si>
    <t>Cash</t>
  </si>
  <si>
    <t>Monday</t>
  </si>
  <si>
    <t>B003</t>
  </si>
  <si>
    <t>Chicken</t>
  </si>
  <si>
    <t>Card</t>
  </si>
  <si>
    <t>Saturday</t>
  </si>
  <si>
    <t>B004</t>
  </si>
  <si>
    <t>Cold Drink</t>
  </si>
  <si>
    <t>Beverages</t>
  </si>
  <si>
    <t>Jan</t>
  </si>
  <si>
    <t>B005</t>
  </si>
  <si>
    <t>Apr</t>
  </si>
  <si>
    <t>Tuesday</t>
  </si>
  <si>
    <t>B006</t>
  </si>
  <si>
    <t>Wheat Flour</t>
  </si>
  <si>
    <t>Grocery</t>
  </si>
  <si>
    <t>Feb</t>
  </si>
  <si>
    <t>Friday</t>
  </si>
  <si>
    <t>B007</t>
  </si>
  <si>
    <t>B008</t>
  </si>
  <si>
    <t>Fish</t>
  </si>
  <si>
    <t>B009</t>
  </si>
  <si>
    <t>B010</t>
  </si>
  <si>
    <t>Bread</t>
  </si>
  <si>
    <t>Bakery</t>
  </si>
  <si>
    <t>B011</t>
  </si>
  <si>
    <t>Sunday</t>
  </si>
  <si>
    <t>B012</t>
  </si>
  <si>
    <t>Apple</t>
  </si>
  <si>
    <t>Fruits</t>
  </si>
  <si>
    <t>B013</t>
  </si>
  <si>
    <t>B014</t>
  </si>
  <si>
    <t>B015</t>
  </si>
  <si>
    <t>Juice</t>
  </si>
  <si>
    <t>B016</t>
  </si>
  <si>
    <t>B017</t>
  </si>
  <si>
    <t>B018</t>
  </si>
  <si>
    <t>Thursday</t>
  </si>
  <si>
    <t>B019</t>
  </si>
  <si>
    <t>B020</t>
  </si>
  <si>
    <t>Sugar</t>
  </si>
  <si>
    <t>B021</t>
  </si>
  <si>
    <t>B022</t>
  </si>
  <si>
    <t>B023</t>
  </si>
  <si>
    <t>Chocolate</t>
  </si>
  <si>
    <t>Snacks</t>
  </si>
  <si>
    <t>B024</t>
  </si>
  <si>
    <t>B025</t>
  </si>
  <si>
    <t>B026</t>
  </si>
  <si>
    <t>Ice Cream</t>
  </si>
  <si>
    <t>Dairy</t>
  </si>
  <si>
    <t>B027</t>
  </si>
  <si>
    <t>Tomato</t>
  </si>
  <si>
    <t>B028</t>
  </si>
  <si>
    <t>B029</t>
  </si>
  <si>
    <t>B030</t>
  </si>
  <si>
    <t>B031</t>
  </si>
  <si>
    <t>B032</t>
  </si>
  <si>
    <t>Butter</t>
  </si>
  <si>
    <t>B033</t>
  </si>
  <si>
    <t>Biscuit</t>
  </si>
  <si>
    <t>B034</t>
  </si>
  <si>
    <t>B035</t>
  </si>
  <si>
    <t>B036</t>
  </si>
  <si>
    <t>B037</t>
  </si>
  <si>
    <t>B038</t>
  </si>
  <si>
    <t>B039</t>
  </si>
  <si>
    <t>B040</t>
  </si>
  <si>
    <t>B041</t>
  </si>
  <si>
    <t>Cheese</t>
  </si>
  <si>
    <t>B042</t>
  </si>
  <si>
    <t>B043</t>
  </si>
  <si>
    <t>B044</t>
  </si>
  <si>
    <t>B045</t>
  </si>
  <si>
    <t>B046</t>
  </si>
  <si>
    <t>B047</t>
  </si>
  <si>
    <t>B048</t>
  </si>
  <si>
    <t>B049</t>
  </si>
  <si>
    <t>B050</t>
  </si>
  <si>
    <t>B051</t>
  </si>
  <si>
    <t>B052</t>
  </si>
  <si>
    <t>Chips</t>
  </si>
  <si>
    <t>B053</t>
  </si>
  <si>
    <t>B054</t>
  </si>
  <si>
    <t>B055</t>
  </si>
  <si>
    <t>Banana</t>
  </si>
  <si>
    <t>B056</t>
  </si>
  <si>
    <t>B057</t>
  </si>
  <si>
    <t>B058</t>
  </si>
  <si>
    <t>B059</t>
  </si>
  <si>
    <t>B060</t>
  </si>
  <si>
    <t>B061</t>
  </si>
  <si>
    <t>B062</t>
  </si>
  <si>
    <t>B063</t>
  </si>
  <si>
    <t>B064</t>
  </si>
  <si>
    <t>B065</t>
  </si>
  <si>
    <t>B066</t>
  </si>
  <si>
    <t>B067</t>
  </si>
  <si>
    <t>B068</t>
  </si>
  <si>
    <t>B069</t>
  </si>
  <si>
    <t>B070</t>
  </si>
  <si>
    <t>B071</t>
  </si>
  <si>
    <t>Milk</t>
  </si>
  <si>
    <t>B072</t>
  </si>
  <si>
    <t>B073</t>
  </si>
  <si>
    <t>B074</t>
  </si>
  <si>
    <t>B075</t>
  </si>
  <si>
    <t>B076</t>
  </si>
  <si>
    <t>B077</t>
  </si>
  <si>
    <t>B078</t>
  </si>
  <si>
    <t>Rice</t>
  </si>
  <si>
    <t>B079</t>
  </si>
  <si>
    <t>B080</t>
  </si>
  <si>
    <t>B081</t>
  </si>
  <si>
    <t>B082</t>
  </si>
  <si>
    <t>B083</t>
  </si>
  <si>
    <t>B084</t>
  </si>
  <si>
    <t>B085</t>
  </si>
  <si>
    <t>B086</t>
  </si>
  <si>
    <t>B087</t>
  </si>
  <si>
    <t>B088</t>
  </si>
  <si>
    <t>B089</t>
  </si>
  <si>
    <t>B090</t>
  </si>
  <si>
    <t>B091</t>
  </si>
  <si>
    <t>B092</t>
  </si>
  <si>
    <t>B093</t>
  </si>
  <si>
    <t>B094</t>
  </si>
  <si>
    <t>B095</t>
  </si>
  <si>
    <t>B096</t>
  </si>
  <si>
    <t>B097</t>
  </si>
  <si>
    <t>B098</t>
  </si>
  <si>
    <t>B099</t>
  </si>
  <si>
    <t>B100</t>
  </si>
  <si>
    <t>B101</t>
  </si>
  <si>
    <t>B102</t>
  </si>
  <si>
    <t>B103</t>
  </si>
  <si>
    <t>B104</t>
  </si>
  <si>
    <t>B105</t>
  </si>
  <si>
    <t>B106</t>
  </si>
  <si>
    <t>B107</t>
  </si>
  <si>
    <t>B108</t>
  </si>
  <si>
    <t>B109</t>
  </si>
  <si>
    <t>B110</t>
  </si>
  <si>
    <t>B111</t>
  </si>
  <si>
    <t>B112</t>
  </si>
  <si>
    <t>B113</t>
  </si>
  <si>
    <t>B114</t>
  </si>
  <si>
    <t>B115</t>
  </si>
  <si>
    <t>B116</t>
  </si>
  <si>
    <t>B117</t>
  </si>
  <si>
    <t>B118</t>
  </si>
  <si>
    <t>B119</t>
  </si>
  <si>
    <t>B120</t>
  </si>
  <si>
    <t>B121</t>
  </si>
  <si>
    <t>B122</t>
  </si>
  <si>
    <t>B123</t>
  </si>
  <si>
    <t>B124</t>
  </si>
  <si>
    <t>B125</t>
  </si>
  <si>
    <t>B126</t>
  </si>
  <si>
    <t>B127</t>
  </si>
  <si>
    <t>B128</t>
  </si>
  <si>
    <t>B129</t>
  </si>
  <si>
    <t>B130</t>
  </si>
  <si>
    <t>B131</t>
  </si>
  <si>
    <t>B132</t>
  </si>
  <si>
    <t>B133</t>
  </si>
  <si>
    <t>B134</t>
  </si>
  <si>
    <t>B135</t>
  </si>
  <si>
    <t>B136</t>
  </si>
  <si>
    <t>B137</t>
  </si>
  <si>
    <t>B138</t>
  </si>
  <si>
    <t>B139</t>
  </si>
  <si>
    <t>B140</t>
  </si>
  <si>
    <t>B141</t>
  </si>
  <si>
    <t>B142</t>
  </si>
  <si>
    <t>B143</t>
  </si>
  <si>
    <t>B144</t>
  </si>
  <si>
    <t>B145</t>
  </si>
  <si>
    <t>B146</t>
  </si>
  <si>
    <t>B147</t>
  </si>
  <si>
    <t>B148</t>
  </si>
  <si>
    <t>B149</t>
  </si>
  <si>
    <t>B150</t>
  </si>
  <si>
    <t>B151</t>
  </si>
  <si>
    <t>B152</t>
  </si>
  <si>
    <t>B153</t>
  </si>
  <si>
    <t>B154</t>
  </si>
  <si>
    <t>B155</t>
  </si>
  <si>
    <t>B156</t>
  </si>
  <si>
    <t>B157</t>
  </si>
  <si>
    <t>B158</t>
  </si>
  <si>
    <t>B159</t>
  </si>
  <si>
    <t>B160</t>
  </si>
  <si>
    <t>B161</t>
  </si>
  <si>
    <t>B162</t>
  </si>
  <si>
    <t>B163</t>
  </si>
  <si>
    <t>B164</t>
  </si>
  <si>
    <t>B165</t>
  </si>
  <si>
    <t>B166</t>
  </si>
  <si>
    <t>B167</t>
  </si>
  <si>
    <t>B168</t>
  </si>
  <si>
    <t>B169</t>
  </si>
  <si>
    <t>B170</t>
  </si>
  <si>
    <t>B171</t>
  </si>
  <si>
    <t>B172</t>
  </si>
  <si>
    <t>B173</t>
  </si>
  <si>
    <t>B174</t>
  </si>
  <si>
    <t>B175</t>
  </si>
  <si>
    <t>B176</t>
  </si>
  <si>
    <t>B177</t>
  </si>
  <si>
    <t>B178</t>
  </si>
  <si>
    <t>B179</t>
  </si>
  <si>
    <t>B180</t>
  </si>
  <si>
    <t>B181</t>
  </si>
  <si>
    <t>B182</t>
  </si>
  <si>
    <t>B183</t>
  </si>
  <si>
    <t>B184</t>
  </si>
  <si>
    <t>B185</t>
  </si>
  <si>
    <t>B186</t>
  </si>
  <si>
    <t>B187</t>
  </si>
  <si>
    <t>B188</t>
  </si>
  <si>
    <t>B189</t>
  </si>
  <si>
    <t>B190</t>
  </si>
  <si>
    <t>B191</t>
  </si>
  <si>
    <t>B192</t>
  </si>
  <si>
    <t>B193</t>
  </si>
  <si>
    <t>B194</t>
  </si>
  <si>
    <t>B195</t>
  </si>
  <si>
    <t>B196</t>
  </si>
  <si>
    <t>B197</t>
  </si>
  <si>
    <t>B198</t>
  </si>
  <si>
    <t>B199</t>
  </si>
  <si>
    <t>B200</t>
  </si>
  <si>
    <t>SUPERMARKET BILLING DATASET</t>
  </si>
  <si>
    <t>1. What is the total sales performance of the supermarket by category?</t>
  </si>
  <si>
    <t>(Which category contributes the most to revenue?)</t>
  </si>
  <si>
    <t>2. How does total sales vary month-wise over time?</t>
  </si>
  <si>
    <t>(Identify sales trends and seasonal patterns.)</t>
  </si>
  <si>
    <t>3. Which are the top 5 products generating the highest sales?</t>
  </si>
  <si>
    <t>(Identify best-selling products.)</t>
  </si>
  <si>
    <t>4. What is the payment mode preference of customers?</t>
  </si>
  <si>
    <t>(Cash vs UPI vs Card contribution to total sales.)</t>
  </si>
  <si>
    <t>5. How does category-wise sales change month-by-month?</t>
  </si>
  <si>
    <t>(Compare category performance over time.)</t>
  </si>
  <si>
    <t>8. Who are the top 5 customers by total purchase value?</t>
  </si>
  <si>
    <t>(Identify loyal/high-value customers.)</t>
  </si>
  <si>
    <t>9. How do weekday and weekend sales compare?</t>
  </si>
  <si>
    <t>(Analyze customer footfall behavior.)</t>
  </si>
  <si>
    <t>📈 DASHBOARD MAPPING (VERY IMPORTANT)</t>
  </si>
  <si>
    <t>Question No.</t>
  </si>
  <si>
    <t>Chart Type</t>
  </si>
  <si>
    <t>Purpose</t>
  </si>
  <si>
    <t>Q1</t>
  </si>
  <si>
    <t>Bar Chart</t>
  </si>
  <si>
    <t>Category comparison</t>
  </si>
  <si>
    <t>Q2</t>
  </si>
  <si>
    <t>Line Chart</t>
  </si>
  <si>
    <t>Sales trend</t>
  </si>
  <si>
    <t>Q3</t>
  </si>
  <si>
    <t>Column Chart</t>
  </si>
  <si>
    <t>Top products</t>
  </si>
  <si>
    <t>Q4</t>
  </si>
  <si>
    <t>Pie Chart</t>
  </si>
  <si>
    <t>Payment contribution</t>
  </si>
  <si>
    <t>Q5</t>
  </si>
  <si>
    <t>Category growth</t>
  </si>
  <si>
    <t>Q6</t>
  </si>
  <si>
    <t>Q7</t>
  </si>
  <si>
    <t>Q8</t>
  </si>
  <si>
    <t>Q9</t>
  </si>
  <si>
    <t>Q10</t>
  </si>
  <si>
    <t>🎯 FINAL PROJECT STATEMENT</t>
  </si>
  <si>
    <t>“These questions helped analyze supermarket sales performance, customer behavior, product demand, and payment trends using Excel, and the insights were presented through an interactive dashboard.”</t>
  </si>
  <si>
    <t>Row Labels</t>
  </si>
  <si>
    <t>Grand Total</t>
  </si>
  <si>
    <t>Sum of Total_Amount</t>
  </si>
  <si>
    <t>(Q2)</t>
  </si>
  <si>
    <t>(Q1)</t>
  </si>
  <si>
    <t>(Q3)</t>
  </si>
  <si>
    <t>(Q4)</t>
  </si>
  <si>
    <t>Column Labels</t>
  </si>
  <si>
    <t>(Q5)</t>
  </si>
  <si>
    <t>Bill_Category</t>
  </si>
  <si>
    <t>Sum of Quantity</t>
  </si>
  <si>
    <t>6. What is the total quantity sold in each category?</t>
  </si>
  <si>
    <t>(analyse the total quantity sold for each product category)</t>
  </si>
  <si>
    <t>Bar chart</t>
  </si>
  <si>
    <t>(Q7)</t>
  </si>
  <si>
    <t>(Find total revenue by Day_Name)</t>
  </si>
  <si>
    <r>
      <t xml:space="preserve">7. </t>
    </r>
    <r>
      <rPr>
        <b/>
        <sz val="14"/>
        <color theme="1"/>
        <rFont val="Calibri"/>
        <family val="2"/>
        <scheme val="minor"/>
      </rPr>
      <t>Which day of the week has the highest sales?</t>
    </r>
  </si>
  <si>
    <t>(Q8)</t>
  </si>
  <si>
    <t>(Q9)</t>
  </si>
  <si>
    <t>(Q10)</t>
  </si>
  <si>
    <t>(Find the Month + Day_Name combination that has the highest Sum of Total_Amount.)</t>
  </si>
  <si>
    <t>10.Which Month and Day combination generates the highest revenue?</t>
  </si>
  <si>
    <t>month and day combination</t>
  </si>
  <si>
    <t>Slow moving product analysis</t>
  </si>
  <si>
    <t>Line chart</t>
  </si>
  <si>
    <t>Monthly trends sales analysis</t>
  </si>
  <si>
    <t>Sales analysis with day name</t>
  </si>
  <si>
    <t>category-wised quantity sold</t>
  </si>
  <si>
    <t>“I created a pivot table with Category in rows and Sum of Total_Amount in values. Then I used a bar chart to compare category performance. The category with the highest total sales contributes the most to revenue.”</t>
  </si>
  <si>
    <t>“I analysed total sales month-wise using a line chart. This shows the trend over time — whether sales are increasing, decreasing, or seasonal.”</t>
  </si>
  <si>
    <t>“I sorted products by total sales in descending order and filtered the top 5. These are the best-performing products contributing maximum revenue.”</t>
  </si>
  <si>
    <t>“I analysed total sales by payment mode using a pie chart to see contribution percentage. This shows whether customers prefer Cash, UPI, or Card.”</t>
  </si>
  <si>
    <t>“I compared category performance across months using a clustered column chart. This helps identify which category is growing and which is declining.”</t>
  </si>
  <si>
    <t>“I calculated total quantity sold per category. This shows which category has the highest demand in terms of units sold.”</t>
  </si>
  <si>
    <t>“I grouped sales by Day_Name and compared total revenue. The highest bar indicates the strongest performing weekday.”</t>
  </si>
  <si>
    <t>“I sorted customers by total purchase value and identified the top 5. These are high-value customers important for retention strategies.”</t>
  </si>
  <si>
    <t>“I classified days into Weekday and Weekend using IF formula and compared total sales. This helps understand customer footfall trends.”</t>
  </si>
  <si>
    <t>“I created a pivot with Month and Day_Name and analysed total sales. The highest value combination indicates the peak sales period.”</t>
  </si>
  <si>
    <t>(Q6)</t>
  </si>
  <si>
    <t>MAIN PURPOSE : TO ANALYSE SUPERMARKET SALES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</si>
</sst>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8" x14ac:knownFonts="1">
    <font>
      <sz val="11"/>
      <color theme="1"/>
      <name val="Calibri"/>
      <family val="2"/>
      <scheme val="minor"/>
    </font>
    <font>
      <b/>
      <sz val="11"/>
      <color theme="1"/>
      <name val="Calibri"/>
      <family val="2"/>
      <scheme val="minor"/>
    </font>
    <font>
      <b/>
      <sz val="24"/>
      <color theme="1"/>
      <name val="Calibri"/>
      <family val="2"/>
      <scheme val="minor"/>
    </font>
    <font>
      <b/>
      <sz val="18"/>
      <color theme="1"/>
      <name val="Calibri"/>
      <family val="2"/>
      <scheme val="minor"/>
    </font>
    <font>
      <b/>
      <sz val="13.5"/>
      <color theme="1"/>
      <name val="Calibri"/>
      <family val="2"/>
      <scheme val="minor"/>
    </font>
    <font>
      <i/>
      <sz val="11"/>
      <color theme="1"/>
      <name val="Calibri"/>
      <family val="2"/>
      <scheme val="minor"/>
    </font>
    <font>
      <b/>
      <sz val="14"/>
      <color theme="1"/>
      <name val="Calibri"/>
      <family val="2"/>
      <scheme val="minor"/>
    </font>
    <font>
      <sz val="14"/>
      <color theme="1"/>
      <name val="Calibri"/>
      <family val="2"/>
      <scheme val="minor"/>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1">
    <xf numFmtId="0" fontId="0" fillId="0" borderId="0"/>
  </cellStyleXfs>
  <cellXfs count="19">
    <xf numFmtId="0" fontId="0" fillId="0" borderId="0" xfId="0"/>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vertical="center"/>
    </xf>
    <xf numFmtId="0" fontId="5" fillId="0" borderId="0" xfId="0" applyFont="1"/>
    <xf numFmtId="0" fontId="1"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left" vertical="center" indent="1"/>
    </xf>
    <xf numFmtId="0" fontId="0" fillId="0" borderId="0" xfId="0" pivotButton="1"/>
    <xf numFmtId="0" fontId="0" fillId="0" borderId="0" xfId="0" applyAlignment="1">
      <alignment horizontal="left"/>
    </xf>
    <xf numFmtId="10" fontId="0" fillId="0" borderId="0" xfId="0" applyNumberFormat="1"/>
    <xf numFmtId="0" fontId="1" fillId="0" borderId="0" xfId="0" applyFont="1"/>
    <xf numFmtId="14" fontId="0" fillId="0" borderId="0" xfId="0" applyNumberFormat="1" applyAlignment="1">
      <alignment horizontal="right" vertical="top"/>
    </xf>
    <xf numFmtId="14" fontId="0" fillId="0" borderId="0" xfId="0" applyNumberFormat="1" applyAlignment="1">
      <alignment horizontal="left" vertical="top"/>
    </xf>
    <xf numFmtId="0" fontId="0" fillId="0" borderId="0" xfId="0" applyNumberFormat="1"/>
    <xf numFmtId="0" fontId="6" fillId="0" borderId="0" xfId="0" applyFont="1"/>
    <xf numFmtId="0" fontId="7" fillId="0" borderId="0" xfId="0" applyFont="1"/>
    <xf numFmtId="0" fontId="0" fillId="0" borderId="0" xfId="0" applyAlignment="1">
      <alignment horizontal="left" indent="1"/>
    </xf>
    <xf numFmtId="0" fontId="0" fillId="2" borderId="0" xfId="0" applyFill="1"/>
  </cellXfs>
  <cellStyles count="1">
    <cellStyle name="Normal" xfId="0" builtinId="0"/>
  </cellStyles>
  <dxfs count="13">
    <dxf>
      <numFmt numFmtId="0" formatCode="General"/>
    </dxf>
    <dxf>
      <numFmt numFmtId="14" formatCode="0.00%"/>
    </dxf>
    <dxf>
      <numFmt numFmtId="0" formatCode="General"/>
    </dxf>
    <dxf>
      <numFmt numFmtId="2"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0" formatCode="General"/>
    </dxf>
    <dxf>
      <numFmt numFmtId="19" formatCode="m/d/yyyy"/>
      <alignment horizontal="right" vertical="top" textRotation="0" wrapText="0" indent="0" justifyLastLine="0" shrinkToFit="0" readingOrder="0"/>
    </dxf>
  </dxfs>
  <tableStyles count="0" defaultTableStyle="TableStyleMedium9" defaultPivotStyle="PivotStyleLight16"/>
  <colors>
    <mruColors>
      <color rgb="FFFF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[Supermarket_Sales_Analytics_dashboard.xlsx] PIVOT TABLES &amp; CHARTS!PivotTable1</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600"/>
              <a:t>Total</a:t>
            </a:r>
            <a:r>
              <a:rPr lang="en-US" sz="1600" baseline="0"/>
              <a:t> Sales By Category</a:t>
            </a:r>
            <a:endParaRPr lang="en-US" sz="16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PIVOT TABLES &amp; CHARTS'!$B$1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 PIVOT TABLES &amp; CHARTS'!$A$2:$A$7</c:f>
              <c:strCache>
                <c:ptCount val="5"/>
                <c:pt idx="0">
                  <c:v>Bakery</c:v>
                </c:pt>
                <c:pt idx="1">
                  <c:v>Dairy</c:v>
                </c:pt>
                <c:pt idx="2">
                  <c:v>Fruits</c:v>
                </c:pt>
                <c:pt idx="3">
                  <c:v>Poultry</c:v>
                </c:pt>
                <c:pt idx="4">
                  <c:v>Snacks</c:v>
                </c:pt>
              </c:strCache>
            </c:strRef>
          </c:cat>
          <c:val>
            <c:numRef>
              <c:f>' PIVOT TABLES &amp; CHARTS'!$B$2:$B$7</c:f>
              <c:numCache>
                <c:formatCode>General</c:formatCode>
                <c:ptCount val="5"/>
                <c:pt idx="0">
                  <c:v>1680</c:v>
                </c:pt>
                <c:pt idx="1">
                  <c:v>19540</c:v>
                </c:pt>
                <c:pt idx="2">
                  <c:v>4170</c:v>
                </c:pt>
                <c:pt idx="3">
                  <c:v>26314</c:v>
                </c:pt>
                <c:pt idx="4">
                  <c:v>2470</c:v>
                </c:pt>
              </c:numCache>
            </c:numRef>
          </c:val>
          <c:extLst>
            <c:ext xmlns:c16="http://schemas.microsoft.com/office/drawing/2014/chart" uri="{C3380CC4-5D6E-409C-BE32-E72D297353CC}">
              <c16:uniqueId val="{00000000-0E18-471A-8A65-0DFDEFF97538}"/>
            </c:ext>
          </c:extLst>
        </c:ser>
        <c:dLbls>
          <c:dLblPos val="inEnd"/>
          <c:showLegendKey val="0"/>
          <c:showVal val="1"/>
          <c:showCatName val="0"/>
          <c:showSerName val="0"/>
          <c:showPercent val="0"/>
          <c:showBubbleSize val="0"/>
        </c:dLbls>
        <c:gapWidth val="65"/>
        <c:axId val="1853806559"/>
        <c:axId val="1853805727"/>
      </c:barChart>
      <c:catAx>
        <c:axId val="185380655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53805727"/>
        <c:crosses val="autoZero"/>
        <c:auto val="1"/>
        <c:lblAlgn val="ctr"/>
        <c:lblOffset val="100"/>
        <c:noMultiLvlLbl val="0"/>
      </c:catAx>
      <c:valAx>
        <c:axId val="185380572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85380655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[Supermarket_Sales_Analytics_dashboard.xlsx] PIVOT TABLES &amp; CHARTS!PivotTable2</c:name>
    <c:fmtId val="4"/>
  </c:pivotSource>
  <c:chart>
    <c:title>
      <c:tx>
        <c:rich>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r>
              <a:rPr lang="en-US" sz="1600"/>
              <a:t>Month-wise</a:t>
            </a:r>
            <a:r>
              <a:rPr lang="en-US" sz="1600" baseline="0"/>
              <a:t> Sales Trend</a:t>
            </a:r>
            <a:endParaRPr lang="en-US" sz="1600"/>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pPr>
            <a:solidFill>
              <a:schemeClr val="accent1"/>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none"/>
        </c:marker>
      </c:pivotFmt>
    </c:pivotFmts>
    <c:plotArea>
      <c:layout/>
      <c:lineChart>
        <c:grouping val="standard"/>
        <c:varyColors val="0"/>
        <c:ser>
          <c:idx val="0"/>
          <c:order val="0"/>
          <c:tx>
            <c:strRef>
              <c:f>' PIVOT TABLES &amp; CHARTS'!$B$24</c:f>
              <c:strCache>
                <c:ptCount val="1"/>
                <c:pt idx="0">
                  <c:v>Total</c:v>
                </c:pt>
              </c:strCache>
            </c:strRef>
          </c:tx>
          <c:spPr>
            <a:ln w="31750" cap="rnd">
              <a:solidFill>
                <a:schemeClr val="accent1"/>
              </a:solidFill>
              <a:round/>
            </a:ln>
            <a:effectLst/>
          </c:spPr>
          <c:marker>
            <c:symbol val="none"/>
          </c:marker>
          <c:dLbls>
            <c:delete val="1"/>
          </c:dLbls>
          <c:cat>
            <c:strRef>
              <c:f>' PIVOT TABLES &amp; CHARTS'!$A$25:$A$27</c:f>
              <c:strCache>
                <c:ptCount val="2"/>
                <c:pt idx="0">
                  <c:v>Jan</c:v>
                </c:pt>
                <c:pt idx="1">
                  <c:v>Feb</c:v>
                </c:pt>
              </c:strCache>
            </c:strRef>
          </c:cat>
          <c:val>
            <c:numRef>
              <c:f>' PIVOT TABLES &amp; CHARTS'!$B$25:$B$27</c:f>
              <c:numCache>
                <c:formatCode>0.00%</c:formatCode>
                <c:ptCount val="2"/>
                <c:pt idx="0">
                  <c:v>0.41447927049876326</c:v>
                </c:pt>
                <c:pt idx="1">
                  <c:v>0.58552072950123679</c:v>
                </c:pt>
              </c:numCache>
            </c:numRef>
          </c:val>
          <c:smooth val="0"/>
          <c:extLst>
            <c:ext xmlns:c16="http://schemas.microsoft.com/office/drawing/2014/chart" uri="{C3380CC4-5D6E-409C-BE32-E72D297353CC}">
              <c16:uniqueId val="{00000000-AE02-4AEE-BC6B-1A28008D2147}"/>
            </c:ext>
          </c:extLst>
        </c:ser>
        <c:dLbls>
          <c:dLblPos val="ctr"/>
          <c:showLegendKey val="0"/>
          <c:showVal val="1"/>
          <c:showCatName val="0"/>
          <c:showSerName val="0"/>
          <c:showPercent val="0"/>
          <c:showBubbleSize val="0"/>
        </c:dLbls>
        <c:smooth val="0"/>
        <c:axId val="114376784"/>
        <c:axId val="114380944"/>
      </c:lineChart>
      <c:catAx>
        <c:axId val="11437678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4380944"/>
        <c:crosses val="autoZero"/>
        <c:auto val="1"/>
        <c:lblAlgn val="ctr"/>
        <c:lblOffset val="100"/>
        <c:noMultiLvlLbl val="0"/>
      </c:catAx>
      <c:valAx>
        <c:axId val="11438094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crossAx val="114376784"/>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sz="9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[Supermarket_Sales_Analytics_dashboard.xlsx] PIVOT TABLES &amp; CHARTS!PivotTable3</c:name>
    <c:fmtId val="6"/>
  </c:pivotSource>
  <c:chart>
    <c:title>
      <c:tx>
        <c:rich>
          <a:bodyPr rot="0" spcFirstLastPara="1" vertOverflow="ellipsis" vert="horz" wrap="square" anchor="ctr" anchorCtr="1"/>
          <a:lstStyle/>
          <a:p>
            <a:pPr>
              <a:defRPr sz="1600" b="1" i="0" u="none" strike="noStrike" kern="1200" spc="100" baseline="0">
                <a:solidFill>
                  <a:schemeClr val="accent1">
                    <a:lumMod val="75000"/>
                  </a:schemeClr>
                </a:solidFill>
                <a:effectLst>
                  <a:outerShdw blurRad="50800" dist="38100" dir="5400000" algn="t" rotWithShape="0">
                    <a:prstClr val="black">
                      <a:alpha val="40000"/>
                    </a:prstClr>
                  </a:outerShdw>
                </a:effectLst>
                <a:latin typeface="+mn-lt"/>
                <a:ea typeface="+mn-ea"/>
                <a:cs typeface="+mn-cs"/>
              </a:defRPr>
            </a:pPr>
            <a:r>
              <a:rPr lang="en-US">
                <a:solidFill>
                  <a:schemeClr val="accent1">
                    <a:lumMod val="75000"/>
                  </a:schemeClr>
                </a:solidFill>
              </a:rPr>
              <a:t>Top</a:t>
            </a:r>
            <a:r>
              <a:rPr lang="en-US" baseline="0">
                <a:solidFill>
                  <a:schemeClr val="accent1">
                    <a:lumMod val="75000"/>
                  </a:schemeClr>
                </a:solidFill>
              </a:rPr>
              <a:t> 5 Products By Sales</a:t>
            </a:r>
            <a:endParaRPr lang="en-US">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accent1">
                  <a:lumMod val="7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col"/>
        <c:grouping val="stacked"/>
        <c:varyColors val="0"/>
        <c:ser>
          <c:idx val="0"/>
          <c:order val="0"/>
          <c:tx>
            <c:strRef>
              <c:f>' PIVOT TABLES &amp; CHARTS'!$B$39</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delete val="1"/>
          </c:dLbls>
          <c:cat>
            <c:strRef>
              <c:f>' PIVOT TABLES &amp; CHARTS'!$A$40:$A$45</c:f>
              <c:strCache>
                <c:ptCount val="5"/>
                <c:pt idx="0">
                  <c:v>Chicken</c:v>
                </c:pt>
                <c:pt idx="1">
                  <c:v>Fish</c:v>
                </c:pt>
                <c:pt idx="2">
                  <c:v>Cheese</c:v>
                </c:pt>
                <c:pt idx="3">
                  <c:v>Butter</c:v>
                </c:pt>
                <c:pt idx="4">
                  <c:v>Ice Cream</c:v>
                </c:pt>
              </c:strCache>
            </c:strRef>
          </c:cat>
          <c:val>
            <c:numRef>
              <c:f>' PIVOT TABLES &amp; CHARTS'!$B$40:$B$45</c:f>
              <c:numCache>
                <c:formatCode>0.00%</c:formatCode>
                <c:ptCount val="5"/>
                <c:pt idx="0">
                  <c:v>0.30987182370137173</c:v>
                </c:pt>
                <c:pt idx="1">
                  <c:v>0.2765909601978862</c:v>
                </c:pt>
                <c:pt idx="2">
                  <c:v>0.24735776928266248</c:v>
                </c:pt>
                <c:pt idx="3">
                  <c:v>8.4326512255453109E-2</c:v>
                </c:pt>
                <c:pt idx="4">
                  <c:v>8.1852934562626489E-2</c:v>
                </c:pt>
              </c:numCache>
            </c:numRef>
          </c:val>
          <c:extLst>
            <c:ext xmlns:c16="http://schemas.microsoft.com/office/drawing/2014/chart" uri="{C3380CC4-5D6E-409C-BE32-E72D297353CC}">
              <c16:uniqueId val="{00000000-0234-4375-9863-554D0E9A453B}"/>
            </c:ext>
          </c:extLst>
        </c:ser>
        <c:dLbls>
          <c:dLblPos val="ctr"/>
          <c:showLegendKey val="0"/>
          <c:showVal val="1"/>
          <c:showCatName val="0"/>
          <c:showSerName val="0"/>
          <c:showPercent val="0"/>
          <c:showBubbleSize val="0"/>
        </c:dLbls>
        <c:gapWidth val="150"/>
        <c:overlap val="100"/>
        <c:axId val="1455583887"/>
        <c:axId val="1455586383"/>
      </c:barChart>
      <c:catAx>
        <c:axId val="145558388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55586383"/>
        <c:crosses val="autoZero"/>
        <c:auto val="1"/>
        <c:lblAlgn val="ctr"/>
        <c:lblOffset val="100"/>
        <c:noMultiLvlLbl val="0"/>
      </c:catAx>
      <c:valAx>
        <c:axId val="1455586383"/>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55583887"/>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[Supermarket_Sales_Analytics_dashboard.xlsx] PIVOT TABLES &amp; CHARTS!PivotTable4</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solidFill>
                  <a:srgbClr val="FF0000"/>
                </a:solidFill>
              </a:rPr>
              <a:t>Payment</a:t>
            </a:r>
            <a:r>
              <a:rPr lang="en-US" baseline="0">
                <a:solidFill>
                  <a:srgbClr val="FF0000"/>
                </a:solidFill>
              </a:rPr>
              <a:t> Mode Contribution</a:t>
            </a:r>
            <a:endParaRPr lang="en-US">
              <a:solidFill>
                <a:srgbClr val="FF0000"/>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25745953630796148"/>
          <c:y val="0.36818782365042202"/>
          <c:w val="0.25313670166229224"/>
          <c:h val="0.51311493580194367"/>
        </c:manualLayout>
      </c:layout>
      <c:pieChart>
        <c:varyColors val="1"/>
        <c:ser>
          <c:idx val="0"/>
          <c:order val="0"/>
          <c:tx>
            <c:strRef>
              <c:f>' PIVOT TABLES &amp; CHARTS'!$B$57</c:f>
              <c:strCache>
                <c:ptCount val="1"/>
                <c:pt idx="0">
                  <c:v>Total</c:v>
                </c:pt>
              </c:strCache>
            </c:strRef>
          </c:tx>
          <c:explosion val="1"/>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D8E2-4A18-BBEF-AC4FAC01D5F8}"/>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D8E2-4A18-BBEF-AC4FAC01D5F8}"/>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D8E2-4A18-BBEF-AC4FAC01D5F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 PIVOT TABLES &amp; CHARTS'!$A$58:$A$61</c:f>
              <c:strCache>
                <c:ptCount val="3"/>
                <c:pt idx="0">
                  <c:v>Card</c:v>
                </c:pt>
                <c:pt idx="1">
                  <c:v>Cash</c:v>
                </c:pt>
                <c:pt idx="2">
                  <c:v>UPI</c:v>
                </c:pt>
              </c:strCache>
            </c:strRef>
          </c:cat>
          <c:val>
            <c:numRef>
              <c:f>' PIVOT TABLES &amp; CHARTS'!$B$58:$B$61</c:f>
              <c:numCache>
                <c:formatCode>0.00%</c:formatCode>
                <c:ptCount val="3"/>
                <c:pt idx="0">
                  <c:v>0.31989515265625579</c:v>
                </c:pt>
                <c:pt idx="1">
                  <c:v>0.20736884852512275</c:v>
                </c:pt>
                <c:pt idx="2">
                  <c:v>0.47273599881862149</c:v>
                </c:pt>
              </c:numCache>
            </c:numRef>
          </c:val>
          <c:extLst>
            <c:ext xmlns:c16="http://schemas.microsoft.com/office/drawing/2014/chart" uri="{C3380CC4-5D6E-409C-BE32-E72D297353CC}">
              <c16:uniqueId val="{00000000-1385-42DF-82A7-56E55DBEDC3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[Supermarket_Sales_Analytics_dashboard.xlsx] PIVOT TABLES &amp; CHARTS!PivotTable5</c:name>
    <c:fmtId val="9"/>
  </c:pivotSource>
  <c:chart>
    <c:title>
      <c:tx>
        <c:rich>
          <a:bodyPr rot="0" spcFirstLastPara="1" vertOverflow="ellipsis" vert="horz" wrap="square" anchor="ctr" anchorCtr="1"/>
          <a:lstStyle/>
          <a:p>
            <a:pPr>
              <a:defRPr sz="1600" b="1" i="0" u="none" strike="noStrike" kern="1200" spc="100" baseline="0">
                <a:solidFill>
                  <a:srgbClr val="C00000"/>
                </a:solidFill>
                <a:effectLst>
                  <a:outerShdw blurRad="50800" dist="38100" dir="5400000" algn="t" rotWithShape="0">
                    <a:prstClr val="black">
                      <a:alpha val="40000"/>
                    </a:prstClr>
                  </a:outerShdw>
                </a:effectLst>
                <a:latin typeface="+mn-lt"/>
                <a:ea typeface="+mn-ea"/>
                <a:cs typeface="+mn-cs"/>
              </a:defRPr>
            </a:pPr>
            <a:r>
              <a:rPr lang="en-US">
                <a:solidFill>
                  <a:srgbClr val="C00000"/>
                </a:solidFill>
              </a:rPr>
              <a:t>Category-w</a:t>
            </a:r>
            <a:r>
              <a:rPr lang="en-US" baseline="0">
                <a:solidFill>
                  <a:srgbClr val="C00000"/>
                </a:solidFill>
              </a:rPr>
              <a:t>ise Sales Trend By Month</a:t>
            </a:r>
            <a:endParaRPr lang="en-US">
              <a:solidFill>
                <a:srgbClr val="C00000"/>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rgbClr val="C0000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col"/>
        <c:grouping val="stacked"/>
        <c:varyColors val="0"/>
        <c:ser>
          <c:idx val="0"/>
          <c:order val="0"/>
          <c:tx>
            <c:strRef>
              <c:f>' PIVOT TABLES &amp; CHARTS'!$B$75:$B$76</c:f>
              <c:strCache>
                <c:ptCount val="1"/>
                <c:pt idx="0">
                  <c:v>Bakery</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 PIVOT TABLES &amp; CHARTS'!$A$77:$A$79</c:f>
              <c:strCache>
                <c:ptCount val="2"/>
                <c:pt idx="0">
                  <c:v>Jan</c:v>
                </c:pt>
                <c:pt idx="1">
                  <c:v>Feb</c:v>
                </c:pt>
              </c:strCache>
            </c:strRef>
          </c:cat>
          <c:val>
            <c:numRef>
              <c:f>' PIVOT TABLES &amp; CHARTS'!$B$77:$B$79</c:f>
              <c:numCache>
                <c:formatCode>0.00%</c:formatCode>
                <c:ptCount val="2"/>
                <c:pt idx="0">
                  <c:v>3.1011186177871304E-2</c:v>
                </c:pt>
                <c:pt idx="1">
                  <c:v>0</c:v>
                </c:pt>
              </c:numCache>
            </c:numRef>
          </c:val>
          <c:extLst>
            <c:ext xmlns:c16="http://schemas.microsoft.com/office/drawing/2014/chart" uri="{C3380CC4-5D6E-409C-BE32-E72D297353CC}">
              <c16:uniqueId val="{00000000-A9A7-48E0-BA46-1642D57795CA}"/>
            </c:ext>
          </c:extLst>
        </c:ser>
        <c:ser>
          <c:idx val="1"/>
          <c:order val="1"/>
          <c:tx>
            <c:strRef>
              <c:f>' PIVOT TABLES &amp; CHARTS'!$C$75:$C$76</c:f>
              <c:strCache>
                <c:ptCount val="1"/>
                <c:pt idx="0">
                  <c:v>Dairy</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 PIVOT TABLES &amp; CHARTS'!$A$77:$A$79</c:f>
              <c:strCache>
                <c:ptCount val="2"/>
                <c:pt idx="0">
                  <c:v>Jan</c:v>
                </c:pt>
                <c:pt idx="1">
                  <c:v>Feb</c:v>
                </c:pt>
              </c:strCache>
            </c:strRef>
          </c:cat>
          <c:val>
            <c:numRef>
              <c:f>' PIVOT TABLES &amp; CHARTS'!$C$77:$C$79</c:f>
              <c:numCache>
                <c:formatCode>0.00%</c:formatCode>
                <c:ptCount val="2"/>
                <c:pt idx="0">
                  <c:v>0.2063720603979769</c:v>
                </c:pt>
                <c:pt idx="1">
                  <c:v>0.15431756931369292</c:v>
                </c:pt>
              </c:numCache>
            </c:numRef>
          </c:val>
          <c:extLst>
            <c:ext xmlns:c16="http://schemas.microsoft.com/office/drawing/2014/chart" uri="{C3380CC4-5D6E-409C-BE32-E72D297353CC}">
              <c16:uniqueId val="{00000000-85A0-49B6-A44D-3A5EFA67CCF7}"/>
            </c:ext>
          </c:extLst>
        </c:ser>
        <c:ser>
          <c:idx val="2"/>
          <c:order val="2"/>
          <c:tx>
            <c:strRef>
              <c:f>' PIVOT TABLES &amp; CHARTS'!$D$75:$D$76</c:f>
              <c:strCache>
                <c:ptCount val="1"/>
                <c:pt idx="0">
                  <c:v>Fruits</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 PIVOT TABLES &amp; CHARTS'!$A$77:$A$79</c:f>
              <c:strCache>
                <c:ptCount val="2"/>
                <c:pt idx="0">
                  <c:v>Jan</c:v>
                </c:pt>
                <c:pt idx="1">
                  <c:v>Feb</c:v>
                </c:pt>
              </c:strCache>
            </c:strRef>
          </c:cat>
          <c:val>
            <c:numRef>
              <c:f>' PIVOT TABLES &amp; CHARTS'!$D$77:$D$79</c:f>
              <c:numCache>
                <c:formatCode>0.00%</c:formatCode>
                <c:ptCount val="2"/>
                <c:pt idx="0">
                  <c:v>3.6548897995348321E-2</c:v>
                </c:pt>
                <c:pt idx="1">
                  <c:v>4.0425296267582234E-2</c:v>
                </c:pt>
              </c:numCache>
            </c:numRef>
          </c:val>
          <c:extLst>
            <c:ext xmlns:c16="http://schemas.microsoft.com/office/drawing/2014/chart" uri="{C3380CC4-5D6E-409C-BE32-E72D297353CC}">
              <c16:uniqueId val="{00000002-85A0-49B6-A44D-3A5EFA67CCF7}"/>
            </c:ext>
          </c:extLst>
        </c:ser>
        <c:ser>
          <c:idx val="3"/>
          <c:order val="3"/>
          <c:tx>
            <c:strRef>
              <c:f>' PIVOT TABLES &amp; CHARTS'!$E$75:$E$76</c:f>
              <c:strCache>
                <c:ptCount val="1"/>
                <c:pt idx="0">
                  <c:v>Poultry</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 PIVOT TABLES &amp; CHARTS'!$A$77:$A$79</c:f>
              <c:strCache>
                <c:ptCount val="2"/>
                <c:pt idx="0">
                  <c:v>Jan</c:v>
                </c:pt>
                <c:pt idx="1">
                  <c:v>Feb</c:v>
                </c:pt>
              </c:strCache>
            </c:strRef>
          </c:cat>
          <c:val>
            <c:numRef>
              <c:f>' PIVOT TABLES &amp; CHARTS'!$E$77:$E$79</c:f>
              <c:numCache>
                <c:formatCode>0.00%</c:formatCode>
                <c:ptCount val="2"/>
                <c:pt idx="0">
                  <c:v>0.11248938605234983</c:v>
                </c:pt>
                <c:pt idx="1">
                  <c:v>0.37324177649795104</c:v>
                </c:pt>
              </c:numCache>
            </c:numRef>
          </c:val>
          <c:extLst>
            <c:ext xmlns:c16="http://schemas.microsoft.com/office/drawing/2014/chart" uri="{C3380CC4-5D6E-409C-BE32-E72D297353CC}">
              <c16:uniqueId val="{00000003-85A0-49B6-A44D-3A5EFA67CCF7}"/>
            </c:ext>
          </c:extLst>
        </c:ser>
        <c:ser>
          <c:idx val="4"/>
          <c:order val="4"/>
          <c:tx>
            <c:strRef>
              <c:f>' PIVOT TABLES &amp; CHARTS'!$F$75:$F$76</c:f>
              <c:strCache>
                <c:ptCount val="1"/>
                <c:pt idx="0">
                  <c:v>Snacks</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 PIVOT TABLES &amp; CHARTS'!$A$77:$A$79</c:f>
              <c:strCache>
                <c:ptCount val="2"/>
                <c:pt idx="0">
                  <c:v>Jan</c:v>
                </c:pt>
                <c:pt idx="1">
                  <c:v>Feb</c:v>
                </c:pt>
              </c:strCache>
            </c:strRef>
          </c:cat>
          <c:val>
            <c:numRef>
              <c:f>' PIVOT TABLES &amp; CHARTS'!$F$77:$F$79</c:f>
              <c:numCache>
                <c:formatCode>0.00%</c:formatCode>
                <c:ptCount val="2"/>
                <c:pt idx="0">
                  <c:v>2.8057739875216894E-2</c:v>
                </c:pt>
                <c:pt idx="1">
                  <c:v>1.7536087422010557E-2</c:v>
                </c:pt>
              </c:numCache>
            </c:numRef>
          </c:val>
          <c:extLst>
            <c:ext xmlns:c16="http://schemas.microsoft.com/office/drawing/2014/chart" uri="{C3380CC4-5D6E-409C-BE32-E72D297353CC}">
              <c16:uniqueId val="{00000004-85A0-49B6-A44D-3A5EFA67CCF7}"/>
            </c:ext>
          </c:extLst>
        </c:ser>
        <c:dLbls>
          <c:showLegendKey val="0"/>
          <c:showVal val="0"/>
          <c:showCatName val="0"/>
          <c:showSerName val="0"/>
          <c:showPercent val="0"/>
          <c:showBubbleSize val="0"/>
        </c:dLbls>
        <c:gapWidth val="100"/>
        <c:overlap val="100"/>
        <c:axId val="1601467679"/>
        <c:axId val="1601468095"/>
      </c:barChart>
      <c:catAx>
        <c:axId val="160146767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1468095"/>
        <c:crosses val="autoZero"/>
        <c:auto val="1"/>
        <c:lblAlgn val="ctr"/>
        <c:lblOffset val="100"/>
        <c:noMultiLvlLbl val="0"/>
      </c:catAx>
      <c:valAx>
        <c:axId val="1601468095"/>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1467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[Supermarket_Sales_Analytics_dashboard.xlsx] PIVOT TABLES &amp; CHARTS!PivotTable10</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Category</a:t>
            </a:r>
            <a:r>
              <a:rPr lang="en-US" baseline="0"/>
              <a:t>-wise Quantity Sold</a:t>
            </a:r>
            <a:endParaRPr lang="en-US"/>
          </a:p>
        </c:rich>
      </c:tx>
      <c:layout>
        <c:manualLayout>
          <c:xMode val="edge"/>
          <c:yMode val="edge"/>
          <c:x val="0.30211516362839652"/>
          <c:y val="9.400295551291382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 PIVOT TABLES &amp; CHARTS'!$B$92</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 TABLES &amp; CHARTS'!$A$93:$A$98</c:f>
              <c:strCache>
                <c:ptCount val="5"/>
                <c:pt idx="0">
                  <c:v>Dairy</c:v>
                </c:pt>
                <c:pt idx="1">
                  <c:v>Poultry</c:v>
                </c:pt>
                <c:pt idx="2">
                  <c:v>Snacks</c:v>
                </c:pt>
                <c:pt idx="3">
                  <c:v>Fruits</c:v>
                </c:pt>
                <c:pt idx="4">
                  <c:v>Bakery</c:v>
                </c:pt>
              </c:strCache>
            </c:strRef>
          </c:cat>
          <c:val>
            <c:numRef>
              <c:f>' PIVOT TABLES &amp; CHARTS'!$B$93:$B$98</c:f>
              <c:numCache>
                <c:formatCode>General</c:formatCode>
                <c:ptCount val="5"/>
                <c:pt idx="0">
                  <c:v>155</c:v>
                </c:pt>
                <c:pt idx="1">
                  <c:v>133</c:v>
                </c:pt>
                <c:pt idx="2">
                  <c:v>72</c:v>
                </c:pt>
                <c:pt idx="3">
                  <c:v>52</c:v>
                </c:pt>
                <c:pt idx="4">
                  <c:v>42</c:v>
                </c:pt>
              </c:numCache>
            </c:numRef>
          </c:val>
          <c:extLst>
            <c:ext xmlns:c16="http://schemas.microsoft.com/office/drawing/2014/chart" uri="{C3380CC4-5D6E-409C-BE32-E72D297353CC}">
              <c16:uniqueId val="{00000000-896D-42C9-A734-8FFDAF171E62}"/>
            </c:ext>
          </c:extLst>
        </c:ser>
        <c:dLbls>
          <c:dLblPos val="outEnd"/>
          <c:showLegendKey val="0"/>
          <c:showVal val="1"/>
          <c:showCatName val="0"/>
          <c:showSerName val="0"/>
          <c:showPercent val="0"/>
          <c:showBubbleSize val="0"/>
        </c:dLbls>
        <c:gapWidth val="115"/>
        <c:overlap val="-20"/>
        <c:axId val="245439983"/>
        <c:axId val="245431663"/>
      </c:barChart>
      <c:catAx>
        <c:axId val="24543998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431663"/>
        <c:crosses val="autoZero"/>
        <c:auto val="1"/>
        <c:lblAlgn val="ctr"/>
        <c:lblOffset val="100"/>
        <c:noMultiLvlLbl val="0"/>
      </c:catAx>
      <c:valAx>
        <c:axId val="2454316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439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[Supermarket_Sales_Analytics_dashboard.xlsx] PIVOT TABLES &amp; CHARTS!PivotTable7</c:name>
    <c:fmtId val="2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Analysis With Day</a:t>
            </a:r>
            <a:r>
              <a:rPr lang="en-US" baseline="0"/>
              <a:t> Name</a:t>
            </a:r>
            <a:endParaRPr lang="en-US"/>
          </a:p>
        </c:rich>
      </c:tx>
      <c:layout>
        <c:manualLayout>
          <c:xMode val="edge"/>
          <c:yMode val="edge"/>
          <c:x val="0.1300236537973076"/>
          <c:y val="0.13244078911501048"/>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PIVOT TABLES &amp; CHARTS'!$B$108</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 PIVOT TABLES &amp; CHARTS'!$A$109:$A$116</c:f>
              <c:strCache>
                <c:ptCount val="7"/>
                <c:pt idx="0">
                  <c:v>Friday</c:v>
                </c:pt>
                <c:pt idx="1">
                  <c:v>Wednesday</c:v>
                </c:pt>
                <c:pt idx="2">
                  <c:v>Tuesday</c:v>
                </c:pt>
                <c:pt idx="3">
                  <c:v>Thursday</c:v>
                </c:pt>
                <c:pt idx="4">
                  <c:v>Saturday</c:v>
                </c:pt>
                <c:pt idx="5">
                  <c:v>Monday</c:v>
                </c:pt>
                <c:pt idx="6">
                  <c:v>Sunday</c:v>
                </c:pt>
              </c:strCache>
            </c:strRef>
          </c:cat>
          <c:val>
            <c:numRef>
              <c:f>' PIVOT TABLES &amp; CHARTS'!$B$109:$B$116</c:f>
              <c:numCache>
                <c:formatCode>General</c:formatCode>
                <c:ptCount val="7"/>
                <c:pt idx="0">
                  <c:v>13722</c:v>
                </c:pt>
                <c:pt idx="1">
                  <c:v>12582</c:v>
                </c:pt>
                <c:pt idx="2">
                  <c:v>6669</c:v>
                </c:pt>
                <c:pt idx="3">
                  <c:v>6340</c:v>
                </c:pt>
                <c:pt idx="4">
                  <c:v>5066</c:v>
                </c:pt>
                <c:pt idx="5">
                  <c:v>5055</c:v>
                </c:pt>
                <c:pt idx="6">
                  <c:v>4740</c:v>
                </c:pt>
              </c:numCache>
            </c:numRef>
          </c:val>
          <c:extLst>
            <c:ext xmlns:c16="http://schemas.microsoft.com/office/drawing/2014/chart" uri="{C3380CC4-5D6E-409C-BE32-E72D297353CC}">
              <c16:uniqueId val="{00000000-367D-40CA-889D-1FAF6353AFC6}"/>
            </c:ext>
          </c:extLst>
        </c:ser>
        <c:dLbls>
          <c:dLblPos val="inEnd"/>
          <c:showLegendKey val="0"/>
          <c:showVal val="1"/>
          <c:showCatName val="0"/>
          <c:showSerName val="0"/>
          <c:showPercent val="0"/>
          <c:showBubbleSize val="0"/>
        </c:dLbls>
        <c:gapWidth val="65"/>
        <c:axId val="1204904159"/>
        <c:axId val="1204899167"/>
      </c:barChart>
      <c:catAx>
        <c:axId val="120490415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04899167"/>
        <c:crosses val="autoZero"/>
        <c:auto val="1"/>
        <c:lblAlgn val="ctr"/>
        <c:lblOffset val="100"/>
        <c:noMultiLvlLbl val="0"/>
      </c:catAx>
      <c:valAx>
        <c:axId val="120489916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20490415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[Supermarket_Sales_Analytics_dashboard.xlsx] PIVOT TABLES &amp; CHARTS!PivotTable8</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Monthly</a:t>
            </a:r>
            <a:r>
              <a:rPr lang="en-US" baseline="0"/>
              <a:t> Sales Trend Analysis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pPr>
            <a:solidFill>
              <a:schemeClr val="accent1"/>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 PIVOT TABLES &amp; CHARTS'!$B$124</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 PIVOT TABLES &amp; CHARTS'!$A$125:$A$127</c:f>
              <c:strCache>
                <c:ptCount val="2"/>
                <c:pt idx="0">
                  <c:v>Jan</c:v>
                </c:pt>
                <c:pt idx="1">
                  <c:v>Feb</c:v>
                </c:pt>
              </c:strCache>
            </c:strRef>
          </c:cat>
          <c:val>
            <c:numRef>
              <c:f>' PIVOT TABLES &amp; CHARTS'!$B$125:$B$127</c:f>
              <c:numCache>
                <c:formatCode>General</c:formatCode>
                <c:ptCount val="2"/>
                <c:pt idx="0">
                  <c:v>22454</c:v>
                </c:pt>
                <c:pt idx="1">
                  <c:v>31720</c:v>
                </c:pt>
              </c:numCache>
            </c:numRef>
          </c:val>
          <c:smooth val="0"/>
          <c:extLst>
            <c:ext xmlns:c16="http://schemas.microsoft.com/office/drawing/2014/chart" uri="{C3380CC4-5D6E-409C-BE32-E72D297353CC}">
              <c16:uniqueId val="{00000000-F00D-4286-B0F8-D6F1B078335F}"/>
            </c:ext>
          </c:extLst>
        </c:ser>
        <c:dLbls>
          <c:dLblPos val="ctr"/>
          <c:showLegendKey val="0"/>
          <c:showVal val="1"/>
          <c:showCatName val="0"/>
          <c:showSerName val="0"/>
          <c:showPercent val="0"/>
          <c:showBubbleSize val="0"/>
        </c:dLbls>
        <c:upDownBars>
          <c:gapWidth val="150"/>
          <c:upBars>
            <c:spPr>
              <a:solidFill>
                <a:schemeClr val="lt1"/>
              </a:solidFill>
              <a:ln w="9525">
                <a:solidFill>
                  <a:schemeClr val="dk1">
                    <a:lumMod val="65000"/>
                    <a:lumOff val="35000"/>
                  </a:schemeClr>
                </a:solidFill>
              </a:ln>
              <a:effectLst/>
            </c:spPr>
          </c:upBars>
          <c:downBars>
            <c:spPr>
              <a:solidFill>
                <a:schemeClr val="dk1">
                  <a:lumMod val="50000"/>
                  <a:lumOff val="50000"/>
                </a:schemeClr>
              </a:solidFill>
              <a:ln w="9525">
                <a:solidFill>
                  <a:schemeClr val="dk1">
                    <a:lumMod val="65000"/>
                    <a:lumOff val="35000"/>
                  </a:schemeClr>
                </a:solidFill>
              </a:ln>
              <a:effectLst/>
            </c:spPr>
          </c:downBars>
        </c:upDownBars>
        <c:marker val="1"/>
        <c:smooth val="0"/>
        <c:axId val="1355611567"/>
        <c:axId val="1355606575"/>
      </c:lineChart>
      <c:catAx>
        <c:axId val="135561156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55606575"/>
        <c:crosses val="autoZero"/>
        <c:auto val="1"/>
        <c:lblAlgn val="ctr"/>
        <c:lblOffset val="100"/>
        <c:noMultiLvlLbl val="0"/>
      </c:catAx>
      <c:valAx>
        <c:axId val="135560657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355611567"/>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[Supermarket_Sales_Analytics_dashboard.xlsx] PIVOT TABLES &amp; CHARTS!PivotTable6</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solidFill>
                  <a:srgbClr val="C00000"/>
                </a:solidFill>
              </a:rPr>
              <a:t>Slow-Moving</a:t>
            </a:r>
            <a:r>
              <a:rPr lang="en-US" baseline="0">
                <a:solidFill>
                  <a:srgbClr val="C00000"/>
                </a:solidFill>
              </a:rPr>
              <a:t> Products Analysis</a:t>
            </a:r>
            <a:endParaRPr lang="en-US">
              <a:solidFill>
                <a:srgbClr val="C00000"/>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col"/>
        <c:grouping val="clustered"/>
        <c:varyColors val="0"/>
        <c:ser>
          <c:idx val="0"/>
          <c:order val="0"/>
          <c:tx>
            <c:strRef>
              <c:f>' PIVOT TABLES &amp; CHARTS'!$B$140</c:f>
              <c:strCache>
                <c:ptCount val="1"/>
                <c:pt idx="0">
                  <c:v>Sum of Total_Amount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 PIVOT TABLES &amp; CHARTS'!$A$141:$A$154</c:f>
              <c:strCache>
                <c:ptCount val="13"/>
                <c:pt idx="0">
                  <c:v>Chocolate</c:v>
                </c:pt>
                <c:pt idx="1">
                  <c:v>Biscuit</c:v>
                </c:pt>
                <c:pt idx="2">
                  <c:v>Milk</c:v>
                </c:pt>
                <c:pt idx="3">
                  <c:v>Banana</c:v>
                </c:pt>
                <c:pt idx="4">
                  <c:v>Butter</c:v>
                </c:pt>
                <c:pt idx="5">
                  <c:v>Apple</c:v>
                </c:pt>
                <c:pt idx="6">
                  <c:v>Chips</c:v>
                </c:pt>
                <c:pt idx="7">
                  <c:v>Eggs</c:v>
                </c:pt>
                <c:pt idx="8">
                  <c:v>Fish</c:v>
                </c:pt>
                <c:pt idx="9">
                  <c:v>Bread</c:v>
                </c:pt>
                <c:pt idx="10">
                  <c:v>Ice Cream</c:v>
                </c:pt>
                <c:pt idx="11">
                  <c:v>Chicken</c:v>
                </c:pt>
                <c:pt idx="12">
                  <c:v>Cheese</c:v>
                </c:pt>
              </c:strCache>
            </c:strRef>
          </c:cat>
          <c:val>
            <c:numRef>
              <c:f>' PIVOT TABLES &amp; CHARTS'!$B$141:$B$154</c:f>
              <c:numCache>
                <c:formatCode>General</c:formatCode>
                <c:ptCount val="13"/>
                <c:pt idx="0">
                  <c:v>1080</c:v>
                </c:pt>
                <c:pt idx="1">
                  <c:v>440</c:v>
                </c:pt>
                <c:pt idx="2">
                  <c:v>1150</c:v>
                </c:pt>
                <c:pt idx="3">
                  <c:v>690</c:v>
                </c:pt>
                <c:pt idx="4">
                  <c:v>3750</c:v>
                </c:pt>
                <c:pt idx="5">
                  <c:v>3480</c:v>
                </c:pt>
                <c:pt idx="6">
                  <c:v>950</c:v>
                </c:pt>
                <c:pt idx="7">
                  <c:v>234</c:v>
                </c:pt>
                <c:pt idx="8">
                  <c:v>12300</c:v>
                </c:pt>
                <c:pt idx="9">
                  <c:v>1680</c:v>
                </c:pt>
                <c:pt idx="10">
                  <c:v>3640</c:v>
                </c:pt>
                <c:pt idx="11">
                  <c:v>13780</c:v>
                </c:pt>
                <c:pt idx="12">
                  <c:v>11000</c:v>
                </c:pt>
              </c:numCache>
            </c:numRef>
          </c:val>
          <c:extLst>
            <c:ext xmlns:c16="http://schemas.microsoft.com/office/drawing/2014/chart" uri="{C3380CC4-5D6E-409C-BE32-E72D297353CC}">
              <c16:uniqueId val="{00000000-EE7B-4C52-9158-51190A98FCF9}"/>
            </c:ext>
          </c:extLst>
        </c:ser>
        <c:ser>
          <c:idx val="1"/>
          <c:order val="1"/>
          <c:tx>
            <c:strRef>
              <c:f>' PIVOT TABLES &amp; CHARTS'!$C$140</c:f>
              <c:strCache>
                <c:ptCount val="1"/>
                <c:pt idx="0">
                  <c:v>Sum of Quantity</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 PIVOT TABLES &amp; CHARTS'!$A$141:$A$154</c:f>
              <c:strCache>
                <c:ptCount val="13"/>
                <c:pt idx="0">
                  <c:v>Chocolate</c:v>
                </c:pt>
                <c:pt idx="1">
                  <c:v>Biscuit</c:v>
                </c:pt>
                <c:pt idx="2">
                  <c:v>Milk</c:v>
                </c:pt>
                <c:pt idx="3">
                  <c:v>Banana</c:v>
                </c:pt>
                <c:pt idx="4">
                  <c:v>Butter</c:v>
                </c:pt>
                <c:pt idx="5">
                  <c:v>Apple</c:v>
                </c:pt>
                <c:pt idx="6">
                  <c:v>Chips</c:v>
                </c:pt>
                <c:pt idx="7">
                  <c:v>Eggs</c:v>
                </c:pt>
                <c:pt idx="8">
                  <c:v>Fish</c:v>
                </c:pt>
                <c:pt idx="9">
                  <c:v>Bread</c:v>
                </c:pt>
                <c:pt idx="10">
                  <c:v>Ice Cream</c:v>
                </c:pt>
                <c:pt idx="11">
                  <c:v>Chicken</c:v>
                </c:pt>
                <c:pt idx="12">
                  <c:v>Cheese</c:v>
                </c:pt>
              </c:strCache>
            </c:strRef>
          </c:cat>
          <c:val>
            <c:numRef>
              <c:f>' PIVOT TABLES &amp; CHARTS'!$C$141:$C$154</c:f>
              <c:numCache>
                <c:formatCode>General</c:formatCode>
                <c:ptCount val="13"/>
                <c:pt idx="0">
                  <c:v>12</c:v>
                </c:pt>
                <c:pt idx="1">
                  <c:v>22</c:v>
                </c:pt>
                <c:pt idx="2">
                  <c:v>23</c:v>
                </c:pt>
                <c:pt idx="3">
                  <c:v>23</c:v>
                </c:pt>
                <c:pt idx="4">
                  <c:v>25</c:v>
                </c:pt>
                <c:pt idx="5">
                  <c:v>29</c:v>
                </c:pt>
                <c:pt idx="6">
                  <c:v>38</c:v>
                </c:pt>
                <c:pt idx="7">
                  <c:v>39</c:v>
                </c:pt>
                <c:pt idx="8">
                  <c:v>41</c:v>
                </c:pt>
                <c:pt idx="9">
                  <c:v>42</c:v>
                </c:pt>
                <c:pt idx="10">
                  <c:v>52</c:v>
                </c:pt>
                <c:pt idx="11">
                  <c:v>53</c:v>
                </c:pt>
                <c:pt idx="12">
                  <c:v>55</c:v>
                </c:pt>
              </c:numCache>
            </c:numRef>
          </c:val>
          <c:extLst>
            <c:ext xmlns:c16="http://schemas.microsoft.com/office/drawing/2014/chart" uri="{C3380CC4-5D6E-409C-BE32-E72D297353CC}">
              <c16:uniqueId val="{00000001-EE7B-4C52-9158-51190A98FCF9}"/>
            </c:ext>
          </c:extLst>
        </c:ser>
        <c:dLbls>
          <c:showLegendKey val="0"/>
          <c:showVal val="0"/>
          <c:showCatName val="0"/>
          <c:showSerName val="0"/>
          <c:showPercent val="0"/>
          <c:showBubbleSize val="0"/>
        </c:dLbls>
        <c:gapWidth val="100"/>
        <c:overlap val="-24"/>
        <c:axId val="278409792"/>
        <c:axId val="278415616"/>
      </c:barChart>
      <c:catAx>
        <c:axId val="27840979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8415616"/>
        <c:crosses val="autoZero"/>
        <c:auto val="1"/>
        <c:lblAlgn val="ctr"/>
        <c:lblOffset val="100"/>
        <c:noMultiLvlLbl val="0"/>
      </c:catAx>
      <c:valAx>
        <c:axId val="27841561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8409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[Supermarket_Sales_Analytics_dashboard.xlsx] PIVOT TABLES &amp; CHARTS!PivotTable11</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rgbClr val="0070C0"/>
                </a:solidFill>
              </a:rPr>
              <a:t>Revenue</a:t>
            </a:r>
            <a:r>
              <a:rPr lang="en-US" baseline="0">
                <a:solidFill>
                  <a:srgbClr val="0070C0"/>
                </a:solidFill>
              </a:rPr>
              <a:t> By Month and Day Combination</a:t>
            </a:r>
            <a:endParaRPr lang="en-US">
              <a:solidFill>
                <a:srgbClr val="0070C0"/>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col"/>
        <c:grouping val="clustered"/>
        <c:varyColors val="0"/>
        <c:ser>
          <c:idx val="0"/>
          <c:order val="0"/>
          <c:tx>
            <c:strRef>
              <c:f>' PIVOT TABLES &amp; CHARTS'!$B$166</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 PIVOT TABLES &amp; CHARTS'!$A$167:$A$188</c:f>
              <c:multiLvlStrCache>
                <c:ptCount val="14"/>
                <c:lvl>
                  <c:pt idx="0">
                    <c:v>Feb</c:v>
                  </c:pt>
                  <c:pt idx="1">
                    <c:v>Jan</c:v>
                  </c:pt>
                  <c:pt idx="2">
                    <c:v>Feb</c:v>
                  </c:pt>
                  <c:pt idx="3">
                    <c:v>Jan</c:v>
                  </c:pt>
                  <c:pt idx="4">
                    <c:v>Jan</c:v>
                  </c:pt>
                  <c:pt idx="5">
                    <c:v>Feb</c:v>
                  </c:pt>
                  <c:pt idx="6">
                    <c:v>Feb</c:v>
                  </c:pt>
                  <c:pt idx="7">
                    <c:v>Jan</c:v>
                  </c:pt>
                  <c:pt idx="8">
                    <c:v>Jan</c:v>
                  </c:pt>
                  <c:pt idx="9">
                    <c:v>Feb</c:v>
                  </c:pt>
                  <c:pt idx="10">
                    <c:v>Feb</c:v>
                  </c:pt>
                  <c:pt idx="11">
                    <c:v>Jan</c:v>
                  </c:pt>
                  <c:pt idx="12">
                    <c:v>Jan</c:v>
                  </c:pt>
                  <c:pt idx="13">
                    <c:v>Feb</c:v>
                  </c:pt>
                </c:lvl>
                <c:lvl>
                  <c:pt idx="0">
                    <c:v>Sunday</c:v>
                  </c:pt>
                  <c:pt idx="2">
                    <c:v>Monday</c:v>
                  </c:pt>
                  <c:pt idx="4">
                    <c:v>Tuesday</c:v>
                  </c:pt>
                  <c:pt idx="6">
                    <c:v>Wednesday</c:v>
                  </c:pt>
                  <c:pt idx="8">
                    <c:v>Thursday</c:v>
                  </c:pt>
                  <c:pt idx="10">
                    <c:v>Friday</c:v>
                  </c:pt>
                  <c:pt idx="12">
                    <c:v>Saturday</c:v>
                  </c:pt>
                </c:lvl>
              </c:multiLvlStrCache>
            </c:multiLvlStrRef>
          </c:cat>
          <c:val>
            <c:numRef>
              <c:f>' PIVOT TABLES &amp; CHARTS'!$B$167:$B$188</c:f>
              <c:numCache>
                <c:formatCode>General</c:formatCode>
                <c:ptCount val="14"/>
                <c:pt idx="0">
                  <c:v>3620</c:v>
                </c:pt>
                <c:pt idx="1">
                  <c:v>1120</c:v>
                </c:pt>
                <c:pt idx="2">
                  <c:v>3705</c:v>
                </c:pt>
                <c:pt idx="3">
                  <c:v>1350</c:v>
                </c:pt>
                <c:pt idx="4">
                  <c:v>4120</c:v>
                </c:pt>
                <c:pt idx="5">
                  <c:v>2549</c:v>
                </c:pt>
                <c:pt idx="6">
                  <c:v>8492</c:v>
                </c:pt>
                <c:pt idx="7">
                  <c:v>4090</c:v>
                </c:pt>
                <c:pt idx="8">
                  <c:v>3960</c:v>
                </c:pt>
                <c:pt idx="9">
                  <c:v>2380</c:v>
                </c:pt>
                <c:pt idx="10">
                  <c:v>8534</c:v>
                </c:pt>
                <c:pt idx="11">
                  <c:v>5188</c:v>
                </c:pt>
                <c:pt idx="12">
                  <c:v>2626</c:v>
                </c:pt>
                <c:pt idx="13">
                  <c:v>2440</c:v>
                </c:pt>
              </c:numCache>
            </c:numRef>
          </c:val>
          <c:extLst>
            <c:ext xmlns:c16="http://schemas.microsoft.com/office/drawing/2014/chart" uri="{C3380CC4-5D6E-409C-BE32-E72D297353CC}">
              <c16:uniqueId val="{00000000-0DA7-4995-91CD-C340894B63F0}"/>
            </c:ext>
          </c:extLst>
        </c:ser>
        <c:dLbls>
          <c:showLegendKey val="0"/>
          <c:showVal val="0"/>
          <c:showCatName val="0"/>
          <c:showSerName val="0"/>
          <c:showPercent val="0"/>
          <c:showBubbleSize val="0"/>
        </c:dLbls>
        <c:gapWidth val="100"/>
        <c:axId val="246890544"/>
        <c:axId val="246890960"/>
      </c:barChart>
      <c:catAx>
        <c:axId val="24689054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6890960"/>
        <c:crosses val="autoZero"/>
        <c:auto val="1"/>
        <c:lblAlgn val="ctr"/>
        <c:lblOffset val="100"/>
        <c:noMultiLvlLbl val="0"/>
      </c:catAx>
      <c:valAx>
        <c:axId val="246890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6890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[Supermarket_Sales_Analytics_dashboard.xlsx] PIVOT TABLES &amp; CHARTS!PivotTable1</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600"/>
              <a:t>Total</a:t>
            </a:r>
            <a:r>
              <a:rPr lang="en-US" sz="1600" baseline="0"/>
              <a:t> Sales By Category</a:t>
            </a:r>
            <a:endParaRPr lang="en-US" sz="1600"/>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 PIVOT TABLES &amp; CHARTS'!$B$1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 PIVOT TABLES &amp; CHARTS'!$A$2:$A$7</c:f>
              <c:strCache>
                <c:ptCount val="5"/>
                <c:pt idx="0">
                  <c:v>Bakery</c:v>
                </c:pt>
                <c:pt idx="1">
                  <c:v>Dairy</c:v>
                </c:pt>
                <c:pt idx="2">
                  <c:v>Fruits</c:v>
                </c:pt>
                <c:pt idx="3">
                  <c:v>Poultry</c:v>
                </c:pt>
                <c:pt idx="4">
                  <c:v>Snacks</c:v>
                </c:pt>
              </c:strCache>
            </c:strRef>
          </c:cat>
          <c:val>
            <c:numRef>
              <c:f>' PIVOT TABLES &amp; CHARTS'!$B$2:$B$7</c:f>
              <c:numCache>
                <c:formatCode>General</c:formatCode>
                <c:ptCount val="5"/>
                <c:pt idx="0">
                  <c:v>1680</c:v>
                </c:pt>
                <c:pt idx="1">
                  <c:v>19540</c:v>
                </c:pt>
                <c:pt idx="2">
                  <c:v>4170</c:v>
                </c:pt>
                <c:pt idx="3">
                  <c:v>26314</c:v>
                </c:pt>
                <c:pt idx="4">
                  <c:v>2470</c:v>
                </c:pt>
              </c:numCache>
            </c:numRef>
          </c:val>
          <c:extLst>
            <c:ext xmlns:c16="http://schemas.microsoft.com/office/drawing/2014/chart" uri="{C3380CC4-5D6E-409C-BE32-E72D297353CC}">
              <c16:uniqueId val="{00000000-51C8-4FA0-B170-7816442324CA}"/>
            </c:ext>
          </c:extLst>
        </c:ser>
        <c:dLbls>
          <c:dLblPos val="inEnd"/>
          <c:showLegendKey val="0"/>
          <c:showVal val="1"/>
          <c:showCatName val="0"/>
          <c:showSerName val="0"/>
          <c:showPercent val="0"/>
          <c:showBubbleSize val="0"/>
        </c:dLbls>
        <c:gapWidth val="65"/>
        <c:axId val="1853806559"/>
        <c:axId val="1853805727"/>
      </c:barChart>
      <c:catAx>
        <c:axId val="185380655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53805727"/>
        <c:crosses val="autoZero"/>
        <c:auto val="1"/>
        <c:lblAlgn val="ctr"/>
        <c:lblOffset val="100"/>
        <c:noMultiLvlLbl val="0"/>
      </c:catAx>
      <c:valAx>
        <c:axId val="185380572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853806559"/>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[Supermarket_Sales_Analytics_dashboard.xlsx] PIVOT TABLES &amp; CHARTS!PivotTable2</c:name>
    <c:fmtId val="6"/>
  </c:pivotSource>
  <c:chart>
    <c:title>
      <c:tx>
        <c:rich>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r>
              <a:rPr lang="en-US" sz="1600"/>
              <a:t>Month-wise</a:t>
            </a:r>
            <a:r>
              <a:rPr lang="en-US" sz="1600" baseline="0"/>
              <a:t> Sales Trend</a:t>
            </a:r>
            <a:endParaRPr lang="en-US" sz="1600"/>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pPr>
            <a:solidFill>
              <a:schemeClr val="accent1"/>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31750" cap="rnd" cmpd="sng" algn="ctr">
            <a:solidFill>
              <a:schemeClr val="accent1"/>
            </a:solidFill>
            <a:round/>
          </a:ln>
          <a:effectLst/>
        </c:spPr>
        <c:marker>
          <c:symbol val="none"/>
        </c:marker>
      </c:pivotFmt>
      <c:pivotFmt>
        <c:idx val="3"/>
        <c:spPr>
          <a:solidFill>
            <a:schemeClr val="accent1">
              <a:alpha val="85000"/>
            </a:schemeClr>
          </a:solidFill>
          <a:ln w="31750" cap="rnd" cmpd="sng" algn="ctr">
            <a:solidFill>
              <a:schemeClr val="accent1"/>
            </a:solidFill>
            <a:round/>
          </a:ln>
          <a:effectLst/>
        </c:spPr>
        <c:marker>
          <c:symbol val="none"/>
        </c:marker>
      </c:pivotFmt>
      <c:pivotFmt>
        <c:idx val="4"/>
        <c:spPr>
          <a:ln w="31750" cap="rnd">
            <a:solidFill>
              <a:schemeClr val="accent1"/>
            </a:solidFill>
            <a:round/>
          </a:ln>
          <a:effectLst/>
        </c:spPr>
        <c:marker>
          <c:symbol val="none"/>
        </c:marker>
      </c:pivotFmt>
    </c:pivotFmts>
    <c:plotArea>
      <c:layout/>
      <c:lineChart>
        <c:grouping val="standard"/>
        <c:varyColors val="0"/>
        <c:ser>
          <c:idx val="0"/>
          <c:order val="0"/>
          <c:tx>
            <c:strRef>
              <c:f>' PIVOT TABLES &amp; CHARTS'!$B$24</c:f>
              <c:strCache>
                <c:ptCount val="1"/>
                <c:pt idx="0">
                  <c:v>Total</c:v>
                </c:pt>
              </c:strCache>
            </c:strRef>
          </c:tx>
          <c:spPr>
            <a:ln w="31750" cap="rnd">
              <a:solidFill>
                <a:schemeClr val="accent1"/>
              </a:solidFill>
              <a:round/>
            </a:ln>
            <a:effectLst/>
          </c:spPr>
          <c:marker>
            <c:symbol val="none"/>
          </c:marker>
          <c:dLbls>
            <c:delete val="1"/>
          </c:dLbls>
          <c:cat>
            <c:strRef>
              <c:f>' PIVOT TABLES &amp; CHARTS'!$A$25:$A$27</c:f>
              <c:strCache>
                <c:ptCount val="2"/>
                <c:pt idx="0">
                  <c:v>Jan</c:v>
                </c:pt>
                <c:pt idx="1">
                  <c:v>Feb</c:v>
                </c:pt>
              </c:strCache>
            </c:strRef>
          </c:cat>
          <c:val>
            <c:numRef>
              <c:f>' PIVOT TABLES &amp; CHARTS'!$B$25:$B$27</c:f>
              <c:numCache>
                <c:formatCode>0.00%</c:formatCode>
                <c:ptCount val="2"/>
                <c:pt idx="0">
                  <c:v>0.41447927049876326</c:v>
                </c:pt>
                <c:pt idx="1">
                  <c:v>0.58552072950123679</c:v>
                </c:pt>
              </c:numCache>
            </c:numRef>
          </c:val>
          <c:smooth val="0"/>
          <c:extLst>
            <c:ext xmlns:c16="http://schemas.microsoft.com/office/drawing/2014/chart" uri="{C3380CC4-5D6E-409C-BE32-E72D297353CC}">
              <c16:uniqueId val="{00000000-43A3-4210-A692-BF3151709D03}"/>
            </c:ext>
          </c:extLst>
        </c:ser>
        <c:dLbls>
          <c:dLblPos val="ctr"/>
          <c:showLegendKey val="0"/>
          <c:showVal val="1"/>
          <c:showCatName val="0"/>
          <c:showSerName val="0"/>
          <c:showPercent val="0"/>
          <c:showBubbleSize val="0"/>
        </c:dLbls>
        <c:smooth val="0"/>
        <c:axId val="114376784"/>
        <c:axId val="114380944"/>
      </c:lineChart>
      <c:catAx>
        <c:axId val="11437678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4380944"/>
        <c:crosses val="autoZero"/>
        <c:auto val="1"/>
        <c:lblAlgn val="ctr"/>
        <c:lblOffset val="100"/>
        <c:noMultiLvlLbl val="0"/>
      </c:catAx>
      <c:valAx>
        <c:axId val="11438094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crossAx val="114376784"/>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sz="9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[Supermarket_Sales_Analytics_dashboard.xlsx] PIVOT TABLES &amp; CHARTS!PivotTable3</c:name>
    <c:fmtId val="8"/>
  </c:pivotSource>
  <c:chart>
    <c:title>
      <c:tx>
        <c:rich>
          <a:bodyPr rot="0" spcFirstLastPara="1" vertOverflow="ellipsis" vert="horz" wrap="square" anchor="ctr" anchorCtr="1"/>
          <a:lstStyle/>
          <a:p>
            <a:pPr>
              <a:defRPr sz="1600" b="1" i="0" u="none" strike="noStrike" kern="1200" spc="100" baseline="0">
                <a:solidFill>
                  <a:schemeClr val="accent1">
                    <a:lumMod val="75000"/>
                  </a:schemeClr>
                </a:solidFill>
                <a:effectLst>
                  <a:outerShdw blurRad="50800" dist="38100" dir="5400000" algn="t" rotWithShape="0">
                    <a:prstClr val="black">
                      <a:alpha val="40000"/>
                    </a:prstClr>
                  </a:outerShdw>
                </a:effectLst>
                <a:latin typeface="+mn-lt"/>
                <a:ea typeface="+mn-ea"/>
                <a:cs typeface="+mn-cs"/>
              </a:defRPr>
            </a:pPr>
            <a:r>
              <a:rPr lang="en-US">
                <a:solidFill>
                  <a:schemeClr val="accent1">
                    <a:lumMod val="75000"/>
                  </a:schemeClr>
                </a:solidFill>
              </a:rPr>
              <a:t>Top</a:t>
            </a:r>
            <a:r>
              <a:rPr lang="en-US" baseline="0">
                <a:solidFill>
                  <a:schemeClr val="accent1">
                    <a:lumMod val="75000"/>
                  </a:schemeClr>
                </a:solidFill>
              </a:rPr>
              <a:t> 5 Products By Sales</a:t>
            </a:r>
            <a:endParaRPr lang="en-US">
              <a:solidFill>
                <a:schemeClr val="accent1">
                  <a:lumMod val="75000"/>
                </a:schemeClr>
              </a:solidFill>
            </a:endParaRP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accent1">
                  <a:lumMod val="7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col"/>
        <c:grouping val="stacked"/>
        <c:varyColors val="0"/>
        <c:ser>
          <c:idx val="0"/>
          <c:order val="0"/>
          <c:tx>
            <c:strRef>
              <c:f>' PIVOT TABLES &amp; CHARTS'!$B$39</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delete val="1"/>
          </c:dLbls>
          <c:cat>
            <c:strRef>
              <c:f>' PIVOT TABLES &amp; CHARTS'!$A$40:$A$45</c:f>
              <c:strCache>
                <c:ptCount val="5"/>
                <c:pt idx="0">
                  <c:v>Chicken</c:v>
                </c:pt>
                <c:pt idx="1">
                  <c:v>Fish</c:v>
                </c:pt>
                <c:pt idx="2">
                  <c:v>Cheese</c:v>
                </c:pt>
                <c:pt idx="3">
                  <c:v>Butter</c:v>
                </c:pt>
                <c:pt idx="4">
                  <c:v>Ice Cream</c:v>
                </c:pt>
              </c:strCache>
            </c:strRef>
          </c:cat>
          <c:val>
            <c:numRef>
              <c:f>' PIVOT TABLES &amp; CHARTS'!$B$40:$B$45</c:f>
              <c:numCache>
                <c:formatCode>0.00%</c:formatCode>
                <c:ptCount val="5"/>
                <c:pt idx="0">
                  <c:v>0.30987182370137173</c:v>
                </c:pt>
                <c:pt idx="1">
                  <c:v>0.2765909601978862</c:v>
                </c:pt>
                <c:pt idx="2">
                  <c:v>0.24735776928266248</c:v>
                </c:pt>
                <c:pt idx="3">
                  <c:v>8.4326512255453109E-2</c:v>
                </c:pt>
                <c:pt idx="4">
                  <c:v>8.1852934562626489E-2</c:v>
                </c:pt>
              </c:numCache>
            </c:numRef>
          </c:val>
          <c:extLst>
            <c:ext xmlns:c16="http://schemas.microsoft.com/office/drawing/2014/chart" uri="{C3380CC4-5D6E-409C-BE32-E72D297353CC}">
              <c16:uniqueId val="{00000000-2247-4B83-AACE-B3ACC7FE7681}"/>
            </c:ext>
          </c:extLst>
        </c:ser>
        <c:dLbls>
          <c:dLblPos val="ctr"/>
          <c:showLegendKey val="0"/>
          <c:showVal val="1"/>
          <c:showCatName val="0"/>
          <c:showSerName val="0"/>
          <c:showPercent val="0"/>
          <c:showBubbleSize val="0"/>
        </c:dLbls>
        <c:gapWidth val="150"/>
        <c:overlap val="100"/>
        <c:axId val="1455583887"/>
        <c:axId val="1455586383"/>
      </c:barChart>
      <c:catAx>
        <c:axId val="145558388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55586383"/>
        <c:crosses val="autoZero"/>
        <c:auto val="1"/>
        <c:lblAlgn val="ctr"/>
        <c:lblOffset val="100"/>
        <c:noMultiLvlLbl val="0"/>
      </c:catAx>
      <c:valAx>
        <c:axId val="1455586383"/>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55583887"/>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[Supermarket_Sales_Analytics_dashboard.xlsx] PIVOT TABLES &amp; CHARTS!PivotTable4</c:name>
    <c:fmtId val="10"/>
  </c:pivotSource>
  <c:chart>
    <c:title>
      <c:tx>
        <c:rich>
          <a:bodyPr rot="0" spcFirstLastPara="1" vertOverflow="ellipsis" vert="horz" wrap="square" anchor="ctr" anchorCtr="1"/>
          <a:lstStyle/>
          <a:p>
            <a:pPr>
              <a:defRPr sz="105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050">
                <a:solidFill>
                  <a:srgbClr val="FF0000"/>
                </a:solidFill>
                <a:latin typeface="+mn-lt"/>
              </a:rPr>
              <a:t>Payment</a:t>
            </a:r>
            <a:r>
              <a:rPr lang="en-US" sz="1050" baseline="0">
                <a:solidFill>
                  <a:srgbClr val="FF0000"/>
                </a:solidFill>
                <a:latin typeface="+mn-lt"/>
              </a:rPr>
              <a:t> Mode Contribution</a:t>
            </a:r>
            <a:endParaRPr lang="en-US" sz="1050">
              <a:solidFill>
                <a:srgbClr val="FF0000"/>
              </a:solidFill>
              <a:latin typeface="+mn-lt"/>
            </a:endParaRPr>
          </a:p>
        </c:rich>
      </c:tx>
      <c:layout/>
      <c:overlay val="0"/>
      <c:spPr>
        <a:noFill/>
        <a:ln>
          <a:noFill/>
        </a:ln>
        <a:effectLst/>
      </c:spPr>
      <c:txPr>
        <a:bodyPr rot="0" spcFirstLastPara="1" vertOverflow="ellipsis" vert="horz" wrap="square" anchor="ctr" anchorCtr="1"/>
        <a:lstStyle/>
        <a:p>
          <a:pPr>
            <a:defRPr sz="105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25745953630796148"/>
          <c:y val="0.36818782365042202"/>
          <c:w val="0.25313670166229224"/>
          <c:h val="0.51311493580194367"/>
        </c:manualLayout>
      </c:layout>
      <c:pieChart>
        <c:varyColors val="1"/>
        <c:ser>
          <c:idx val="0"/>
          <c:order val="0"/>
          <c:tx>
            <c:strRef>
              <c:f>' PIVOT TABLES &amp; CHARTS'!$B$57</c:f>
              <c:strCache>
                <c:ptCount val="1"/>
                <c:pt idx="0">
                  <c:v>Total</c:v>
                </c:pt>
              </c:strCache>
            </c:strRef>
          </c:tx>
          <c:explosion val="1"/>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534C-4349-851B-16B618D22078}"/>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534C-4349-851B-16B618D22078}"/>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534C-4349-851B-16B618D2207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 PIVOT TABLES &amp; CHARTS'!$A$58:$A$61</c:f>
              <c:strCache>
                <c:ptCount val="3"/>
                <c:pt idx="0">
                  <c:v>Card</c:v>
                </c:pt>
                <c:pt idx="1">
                  <c:v>Cash</c:v>
                </c:pt>
                <c:pt idx="2">
                  <c:v>UPI</c:v>
                </c:pt>
              </c:strCache>
            </c:strRef>
          </c:cat>
          <c:val>
            <c:numRef>
              <c:f>' PIVOT TABLES &amp; CHARTS'!$B$58:$B$61</c:f>
              <c:numCache>
                <c:formatCode>0.00%</c:formatCode>
                <c:ptCount val="3"/>
                <c:pt idx="0">
                  <c:v>0.31989515265625579</c:v>
                </c:pt>
                <c:pt idx="1">
                  <c:v>0.20736884852512275</c:v>
                </c:pt>
                <c:pt idx="2">
                  <c:v>0.47273599881862149</c:v>
                </c:pt>
              </c:numCache>
            </c:numRef>
          </c:val>
          <c:extLst>
            <c:ext xmlns:c16="http://schemas.microsoft.com/office/drawing/2014/chart" uri="{C3380CC4-5D6E-409C-BE32-E72D297353CC}">
              <c16:uniqueId val="{00000006-534C-4349-851B-16B618D2207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[Supermarket_Sales_Analytics_dashboard.xlsx] PIVOT TABLES &amp; CHARTS!PivotTable5</c:name>
    <c:fmtId val="11"/>
  </c:pivotSource>
  <c:chart>
    <c:title>
      <c:tx>
        <c:rich>
          <a:bodyPr rot="0" spcFirstLastPara="1" vertOverflow="ellipsis" vert="horz" wrap="square" anchor="ctr" anchorCtr="1"/>
          <a:lstStyle/>
          <a:p>
            <a:pPr>
              <a:defRPr sz="1600" b="1" i="0" u="none" strike="noStrike" kern="1200" spc="100" baseline="0">
                <a:solidFill>
                  <a:srgbClr val="C00000"/>
                </a:solidFill>
                <a:effectLst>
                  <a:outerShdw blurRad="50800" dist="38100" dir="5400000" algn="t" rotWithShape="0">
                    <a:prstClr val="black">
                      <a:alpha val="40000"/>
                    </a:prstClr>
                  </a:outerShdw>
                </a:effectLst>
                <a:latin typeface="+mn-lt"/>
                <a:ea typeface="+mn-ea"/>
                <a:cs typeface="+mn-cs"/>
              </a:defRPr>
            </a:pPr>
            <a:r>
              <a:rPr lang="en-US">
                <a:solidFill>
                  <a:srgbClr val="C00000"/>
                </a:solidFill>
                <a:latin typeface="+mn-lt"/>
              </a:rPr>
              <a:t>Category-w</a:t>
            </a:r>
            <a:r>
              <a:rPr lang="en-US" baseline="0">
                <a:solidFill>
                  <a:srgbClr val="C00000"/>
                </a:solidFill>
                <a:latin typeface="+mn-lt"/>
              </a:rPr>
              <a:t>ise Sales Trend By Month</a:t>
            </a:r>
            <a:endParaRPr lang="en-US">
              <a:solidFill>
                <a:srgbClr val="C00000"/>
              </a:solidFill>
              <a:latin typeface="+mn-lt"/>
            </a:endParaRP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rgbClr val="C0000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30"/>
        <c:spPr>
          <a:solidFill>
            <a:schemeClr val="accent2"/>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3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col"/>
        <c:grouping val="stacked"/>
        <c:varyColors val="0"/>
        <c:ser>
          <c:idx val="0"/>
          <c:order val="0"/>
          <c:tx>
            <c:strRef>
              <c:f>' PIVOT TABLES &amp; CHARTS'!$B$75:$B$76</c:f>
              <c:strCache>
                <c:ptCount val="1"/>
                <c:pt idx="0">
                  <c:v>Bakery</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 PIVOT TABLES &amp; CHARTS'!$A$77:$A$79</c:f>
              <c:strCache>
                <c:ptCount val="2"/>
                <c:pt idx="0">
                  <c:v>Jan</c:v>
                </c:pt>
                <c:pt idx="1">
                  <c:v>Feb</c:v>
                </c:pt>
              </c:strCache>
            </c:strRef>
          </c:cat>
          <c:val>
            <c:numRef>
              <c:f>' PIVOT TABLES &amp; CHARTS'!$B$77:$B$79</c:f>
              <c:numCache>
                <c:formatCode>0.00%</c:formatCode>
                <c:ptCount val="2"/>
                <c:pt idx="0">
                  <c:v>3.1011186177871304E-2</c:v>
                </c:pt>
                <c:pt idx="1">
                  <c:v>0</c:v>
                </c:pt>
              </c:numCache>
            </c:numRef>
          </c:val>
          <c:extLst>
            <c:ext xmlns:c16="http://schemas.microsoft.com/office/drawing/2014/chart" uri="{C3380CC4-5D6E-409C-BE32-E72D297353CC}">
              <c16:uniqueId val="{00000000-002F-4C79-BD7B-AA717381C217}"/>
            </c:ext>
          </c:extLst>
        </c:ser>
        <c:ser>
          <c:idx val="1"/>
          <c:order val="1"/>
          <c:tx>
            <c:strRef>
              <c:f>' PIVOT TABLES &amp; CHARTS'!$C$75:$C$76</c:f>
              <c:strCache>
                <c:ptCount val="1"/>
                <c:pt idx="0">
                  <c:v>Dairy</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 PIVOT TABLES &amp; CHARTS'!$A$77:$A$79</c:f>
              <c:strCache>
                <c:ptCount val="2"/>
                <c:pt idx="0">
                  <c:v>Jan</c:v>
                </c:pt>
                <c:pt idx="1">
                  <c:v>Feb</c:v>
                </c:pt>
              </c:strCache>
            </c:strRef>
          </c:cat>
          <c:val>
            <c:numRef>
              <c:f>' PIVOT TABLES &amp; CHARTS'!$C$77:$C$79</c:f>
              <c:numCache>
                <c:formatCode>0.00%</c:formatCode>
                <c:ptCount val="2"/>
                <c:pt idx="0">
                  <c:v>0.2063720603979769</c:v>
                </c:pt>
                <c:pt idx="1">
                  <c:v>0.15431756931369292</c:v>
                </c:pt>
              </c:numCache>
            </c:numRef>
          </c:val>
          <c:extLst>
            <c:ext xmlns:c16="http://schemas.microsoft.com/office/drawing/2014/chart" uri="{C3380CC4-5D6E-409C-BE32-E72D297353CC}">
              <c16:uniqueId val="{00000000-BF63-4580-A4A2-357808D69A91}"/>
            </c:ext>
          </c:extLst>
        </c:ser>
        <c:ser>
          <c:idx val="2"/>
          <c:order val="2"/>
          <c:tx>
            <c:strRef>
              <c:f>' PIVOT TABLES &amp; CHARTS'!$D$75:$D$76</c:f>
              <c:strCache>
                <c:ptCount val="1"/>
                <c:pt idx="0">
                  <c:v>Fruits</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 PIVOT TABLES &amp; CHARTS'!$A$77:$A$79</c:f>
              <c:strCache>
                <c:ptCount val="2"/>
                <c:pt idx="0">
                  <c:v>Jan</c:v>
                </c:pt>
                <c:pt idx="1">
                  <c:v>Feb</c:v>
                </c:pt>
              </c:strCache>
            </c:strRef>
          </c:cat>
          <c:val>
            <c:numRef>
              <c:f>' PIVOT TABLES &amp; CHARTS'!$D$77:$D$79</c:f>
              <c:numCache>
                <c:formatCode>0.00%</c:formatCode>
                <c:ptCount val="2"/>
                <c:pt idx="0">
                  <c:v>3.6548897995348321E-2</c:v>
                </c:pt>
                <c:pt idx="1">
                  <c:v>4.0425296267582234E-2</c:v>
                </c:pt>
              </c:numCache>
            </c:numRef>
          </c:val>
          <c:extLst>
            <c:ext xmlns:c16="http://schemas.microsoft.com/office/drawing/2014/chart" uri="{C3380CC4-5D6E-409C-BE32-E72D297353CC}">
              <c16:uniqueId val="{00000002-BF63-4580-A4A2-357808D69A91}"/>
            </c:ext>
          </c:extLst>
        </c:ser>
        <c:ser>
          <c:idx val="3"/>
          <c:order val="3"/>
          <c:tx>
            <c:strRef>
              <c:f>' PIVOT TABLES &amp; CHARTS'!$E$75:$E$76</c:f>
              <c:strCache>
                <c:ptCount val="1"/>
                <c:pt idx="0">
                  <c:v>Poultry</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 PIVOT TABLES &amp; CHARTS'!$A$77:$A$79</c:f>
              <c:strCache>
                <c:ptCount val="2"/>
                <c:pt idx="0">
                  <c:v>Jan</c:v>
                </c:pt>
                <c:pt idx="1">
                  <c:v>Feb</c:v>
                </c:pt>
              </c:strCache>
            </c:strRef>
          </c:cat>
          <c:val>
            <c:numRef>
              <c:f>' PIVOT TABLES &amp; CHARTS'!$E$77:$E$79</c:f>
              <c:numCache>
                <c:formatCode>0.00%</c:formatCode>
                <c:ptCount val="2"/>
                <c:pt idx="0">
                  <c:v>0.11248938605234983</c:v>
                </c:pt>
                <c:pt idx="1">
                  <c:v>0.37324177649795104</c:v>
                </c:pt>
              </c:numCache>
            </c:numRef>
          </c:val>
          <c:extLst>
            <c:ext xmlns:c16="http://schemas.microsoft.com/office/drawing/2014/chart" uri="{C3380CC4-5D6E-409C-BE32-E72D297353CC}">
              <c16:uniqueId val="{00000003-BF63-4580-A4A2-357808D69A91}"/>
            </c:ext>
          </c:extLst>
        </c:ser>
        <c:ser>
          <c:idx val="4"/>
          <c:order val="4"/>
          <c:tx>
            <c:strRef>
              <c:f>' PIVOT TABLES &amp; CHARTS'!$F$75:$F$76</c:f>
              <c:strCache>
                <c:ptCount val="1"/>
                <c:pt idx="0">
                  <c:v>Snacks</c:v>
                </c:pt>
              </c:strCache>
            </c:strRef>
          </c:tx>
          <c:spPr>
            <a:solidFill>
              <a:schemeClr val="accent2"/>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 PIVOT TABLES &amp; CHARTS'!$A$77:$A$79</c:f>
              <c:strCache>
                <c:ptCount val="2"/>
                <c:pt idx="0">
                  <c:v>Jan</c:v>
                </c:pt>
                <c:pt idx="1">
                  <c:v>Feb</c:v>
                </c:pt>
              </c:strCache>
            </c:strRef>
          </c:cat>
          <c:val>
            <c:numRef>
              <c:f>' PIVOT TABLES &amp; CHARTS'!$F$77:$F$79</c:f>
              <c:numCache>
                <c:formatCode>0.00%</c:formatCode>
                <c:ptCount val="2"/>
                <c:pt idx="0">
                  <c:v>2.8057739875216894E-2</c:v>
                </c:pt>
                <c:pt idx="1">
                  <c:v>1.7536087422010557E-2</c:v>
                </c:pt>
              </c:numCache>
            </c:numRef>
          </c:val>
          <c:extLst>
            <c:ext xmlns:c16="http://schemas.microsoft.com/office/drawing/2014/chart" uri="{C3380CC4-5D6E-409C-BE32-E72D297353CC}">
              <c16:uniqueId val="{00000004-BF63-4580-A4A2-357808D69A91}"/>
            </c:ext>
          </c:extLst>
        </c:ser>
        <c:dLbls>
          <c:showLegendKey val="0"/>
          <c:showVal val="0"/>
          <c:showCatName val="0"/>
          <c:showSerName val="0"/>
          <c:showPercent val="0"/>
          <c:showBubbleSize val="0"/>
        </c:dLbls>
        <c:gapWidth val="100"/>
        <c:overlap val="100"/>
        <c:axId val="1601467679"/>
        <c:axId val="1601468095"/>
      </c:barChart>
      <c:catAx>
        <c:axId val="160146767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1468095"/>
        <c:crosses val="autoZero"/>
        <c:auto val="1"/>
        <c:lblAlgn val="ctr"/>
        <c:lblOffset val="100"/>
        <c:noMultiLvlLbl val="0"/>
      </c:catAx>
      <c:valAx>
        <c:axId val="1601468095"/>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146767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[Supermarket_Sales_Analytics_dashboard.xlsx] PIVOT TABLES &amp; CHARTS!PivotTable10</c:name>
    <c:fmtId val="1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Category</a:t>
            </a:r>
            <a:r>
              <a:rPr lang="en-US" baseline="0"/>
              <a:t>-wise Quantity Sold</a:t>
            </a:r>
            <a:endParaRPr lang="en-US"/>
          </a:p>
        </c:rich>
      </c:tx>
      <c:layout>
        <c:manualLayout>
          <c:xMode val="edge"/>
          <c:yMode val="edge"/>
          <c:x val="0.30211516362839652"/>
          <c:y val="9.400295551291382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 PIVOT TABLES &amp; CHARTS'!$B$92</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 PIVOT TABLES &amp; CHARTS'!$A$93:$A$98</c:f>
              <c:strCache>
                <c:ptCount val="5"/>
                <c:pt idx="0">
                  <c:v>Dairy</c:v>
                </c:pt>
                <c:pt idx="1">
                  <c:v>Poultry</c:v>
                </c:pt>
                <c:pt idx="2">
                  <c:v>Snacks</c:v>
                </c:pt>
                <c:pt idx="3">
                  <c:v>Fruits</c:v>
                </c:pt>
                <c:pt idx="4">
                  <c:v>Bakery</c:v>
                </c:pt>
              </c:strCache>
            </c:strRef>
          </c:cat>
          <c:val>
            <c:numRef>
              <c:f>' PIVOT TABLES &amp; CHARTS'!$B$93:$B$98</c:f>
              <c:numCache>
                <c:formatCode>General</c:formatCode>
                <c:ptCount val="5"/>
                <c:pt idx="0">
                  <c:v>155</c:v>
                </c:pt>
                <c:pt idx="1">
                  <c:v>133</c:v>
                </c:pt>
                <c:pt idx="2">
                  <c:v>72</c:v>
                </c:pt>
                <c:pt idx="3">
                  <c:v>52</c:v>
                </c:pt>
                <c:pt idx="4">
                  <c:v>42</c:v>
                </c:pt>
              </c:numCache>
            </c:numRef>
          </c:val>
          <c:extLst>
            <c:ext xmlns:c16="http://schemas.microsoft.com/office/drawing/2014/chart" uri="{C3380CC4-5D6E-409C-BE32-E72D297353CC}">
              <c16:uniqueId val="{00000000-C878-4848-8BEF-9A7530B247BE}"/>
            </c:ext>
          </c:extLst>
        </c:ser>
        <c:dLbls>
          <c:dLblPos val="outEnd"/>
          <c:showLegendKey val="0"/>
          <c:showVal val="1"/>
          <c:showCatName val="0"/>
          <c:showSerName val="0"/>
          <c:showPercent val="0"/>
          <c:showBubbleSize val="0"/>
        </c:dLbls>
        <c:gapWidth val="115"/>
        <c:overlap val="-20"/>
        <c:axId val="245439983"/>
        <c:axId val="245431663"/>
      </c:barChart>
      <c:catAx>
        <c:axId val="24543998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431663"/>
        <c:crosses val="autoZero"/>
        <c:auto val="1"/>
        <c:lblAlgn val="ctr"/>
        <c:lblOffset val="100"/>
        <c:noMultiLvlLbl val="0"/>
      </c:catAx>
      <c:valAx>
        <c:axId val="2454316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43998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[Supermarket_Sales_Analytics_dashboard.xlsx] PIVOT TABLES &amp; CHARTS!PivotTable7</c:name>
    <c:fmtId val="2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Analysis With Day</a:t>
            </a:r>
            <a:r>
              <a:rPr lang="en-US" baseline="0"/>
              <a:t> Name</a:t>
            </a:r>
            <a:endParaRPr lang="en-US"/>
          </a:p>
        </c:rich>
      </c:tx>
      <c:layout>
        <c:manualLayout>
          <c:xMode val="edge"/>
          <c:yMode val="edge"/>
          <c:x val="0.1300236537973076"/>
          <c:y val="0.13244078911501048"/>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 PIVOT TABLES &amp; CHARTS'!$B$108</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 PIVOT TABLES &amp; CHARTS'!$A$109:$A$116</c:f>
              <c:strCache>
                <c:ptCount val="7"/>
                <c:pt idx="0">
                  <c:v>Friday</c:v>
                </c:pt>
                <c:pt idx="1">
                  <c:v>Wednesday</c:v>
                </c:pt>
                <c:pt idx="2">
                  <c:v>Tuesday</c:v>
                </c:pt>
                <c:pt idx="3">
                  <c:v>Thursday</c:v>
                </c:pt>
                <c:pt idx="4">
                  <c:v>Saturday</c:v>
                </c:pt>
                <c:pt idx="5">
                  <c:v>Monday</c:v>
                </c:pt>
                <c:pt idx="6">
                  <c:v>Sunday</c:v>
                </c:pt>
              </c:strCache>
            </c:strRef>
          </c:cat>
          <c:val>
            <c:numRef>
              <c:f>' PIVOT TABLES &amp; CHARTS'!$B$109:$B$116</c:f>
              <c:numCache>
                <c:formatCode>General</c:formatCode>
                <c:ptCount val="7"/>
                <c:pt idx="0">
                  <c:v>13722</c:v>
                </c:pt>
                <c:pt idx="1">
                  <c:v>12582</c:v>
                </c:pt>
                <c:pt idx="2">
                  <c:v>6669</c:v>
                </c:pt>
                <c:pt idx="3">
                  <c:v>6340</c:v>
                </c:pt>
                <c:pt idx="4">
                  <c:v>5066</c:v>
                </c:pt>
                <c:pt idx="5">
                  <c:v>5055</c:v>
                </c:pt>
                <c:pt idx="6">
                  <c:v>4740</c:v>
                </c:pt>
              </c:numCache>
            </c:numRef>
          </c:val>
          <c:extLst>
            <c:ext xmlns:c16="http://schemas.microsoft.com/office/drawing/2014/chart" uri="{C3380CC4-5D6E-409C-BE32-E72D297353CC}">
              <c16:uniqueId val="{00000000-93DC-4201-B062-D1FF224C5722}"/>
            </c:ext>
          </c:extLst>
        </c:ser>
        <c:dLbls>
          <c:dLblPos val="inEnd"/>
          <c:showLegendKey val="0"/>
          <c:showVal val="1"/>
          <c:showCatName val="0"/>
          <c:showSerName val="0"/>
          <c:showPercent val="0"/>
          <c:showBubbleSize val="0"/>
        </c:dLbls>
        <c:gapWidth val="65"/>
        <c:axId val="1204904159"/>
        <c:axId val="1204899167"/>
      </c:barChart>
      <c:catAx>
        <c:axId val="120490415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04899167"/>
        <c:crosses val="autoZero"/>
        <c:auto val="1"/>
        <c:lblAlgn val="ctr"/>
        <c:lblOffset val="100"/>
        <c:noMultiLvlLbl val="0"/>
      </c:catAx>
      <c:valAx>
        <c:axId val="120489916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204904159"/>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[Supermarket_Sales_Analytics_dashboard.xlsx] PIVOT TABLES &amp; CHARTS!PivotTable8</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Monthly</a:t>
            </a:r>
            <a:r>
              <a:rPr lang="en-US" baseline="0"/>
              <a:t> Sales Trend Analysis</a:t>
            </a:r>
            <a:endParaRPr lang="en-US"/>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pPr>
            <a:solidFill>
              <a:schemeClr val="accent1"/>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17"/>
          <c:spPr>
            <a:solidFill>
              <a:schemeClr val="accent1"/>
            </a:solidFill>
            <a:ln>
              <a:no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 PIVOT TABLES &amp; CHARTS'!$B$124</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 PIVOT TABLES &amp; CHARTS'!$A$125:$A$127</c:f>
              <c:strCache>
                <c:ptCount val="2"/>
                <c:pt idx="0">
                  <c:v>Jan</c:v>
                </c:pt>
                <c:pt idx="1">
                  <c:v>Feb</c:v>
                </c:pt>
              </c:strCache>
            </c:strRef>
          </c:cat>
          <c:val>
            <c:numRef>
              <c:f>' PIVOT TABLES &amp; CHARTS'!$B$125:$B$127</c:f>
              <c:numCache>
                <c:formatCode>General</c:formatCode>
                <c:ptCount val="2"/>
                <c:pt idx="0">
                  <c:v>22454</c:v>
                </c:pt>
                <c:pt idx="1">
                  <c:v>31720</c:v>
                </c:pt>
              </c:numCache>
            </c:numRef>
          </c:val>
          <c:smooth val="0"/>
          <c:extLst>
            <c:ext xmlns:c16="http://schemas.microsoft.com/office/drawing/2014/chart" uri="{C3380CC4-5D6E-409C-BE32-E72D297353CC}">
              <c16:uniqueId val="{00000000-160A-418D-819F-260C45231678}"/>
            </c:ext>
          </c:extLst>
        </c:ser>
        <c:dLbls>
          <c:dLblPos val="ctr"/>
          <c:showLegendKey val="0"/>
          <c:showVal val="1"/>
          <c:showCatName val="0"/>
          <c:showSerName val="0"/>
          <c:showPercent val="0"/>
          <c:showBubbleSize val="0"/>
        </c:dLbls>
        <c:upDownBars>
          <c:gapWidth val="150"/>
          <c:upBars>
            <c:spPr>
              <a:solidFill>
                <a:schemeClr val="lt1"/>
              </a:solidFill>
              <a:ln w="9525">
                <a:solidFill>
                  <a:schemeClr val="dk1">
                    <a:lumMod val="65000"/>
                    <a:lumOff val="35000"/>
                  </a:schemeClr>
                </a:solidFill>
              </a:ln>
              <a:effectLst/>
            </c:spPr>
          </c:upBars>
          <c:downBars>
            <c:spPr>
              <a:solidFill>
                <a:schemeClr val="dk1">
                  <a:lumMod val="50000"/>
                  <a:lumOff val="50000"/>
                </a:schemeClr>
              </a:solidFill>
              <a:ln w="9525">
                <a:solidFill>
                  <a:schemeClr val="dk1">
                    <a:lumMod val="65000"/>
                    <a:lumOff val="35000"/>
                  </a:schemeClr>
                </a:solidFill>
              </a:ln>
              <a:effectLst/>
            </c:spPr>
          </c:downBars>
        </c:upDownBars>
        <c:marker val="1"/>
        <c:smooth val="0"/>
        <c:axId val="1355611567"/>
        <c:axId val="1355606575"/>
      </c:lineChart>
      <c:catAx>
        <c:axId val="135561156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55606575"/>
        <c:crosses val="autoZero"/>
        <c:auto val="1"/>
        <c:lblAlgn val="ctr"/>
        <c:lblOffset val="100"/>
        <c:noMultiLvlLbl val="0"/>
      </c:catAx>
      <c:valAx>
        <c:axId val="135560657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355611567"/>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[Supermarket_Sales_Analytics_dashboard.xlsx] PIVOT TABLES &amp; CHARTS!PivotTable6</c:name>
    <c:fmtId val="7"/>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Slow-Moving Products Analysis</a:t>
            </a:r>
          </a:p>
        </c:rich>
      </c:tx>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s>
    <c:plotArea>
      <c:layout/>
      <c:barChart>
        <c:barDir val="col"/>
        <c:grouping val="clustered"/>
        <c:varyColors val="0"/>
        <c:ser>
          <c:idx val="0"/>
          <c:order val="0"/>
          <c:tx>
            <c:strRef>
              <c:f>' PIVOT TABLES &amp; CHARTS'!$B$140</c:f>
              <c:strCache>
                <c:ptCount val="1"/>
                <c:pt idx="0">
                  <c:v>Sum of Total_Amount</c:v>
                </c:pt>
              </c:strCache>
            </c:strRef>
          </c:tx>
          <c:spPr>
            <a:solidFill>
              <a:schemeClr val="accent1"/>
            </a:solidFill>
            <a:ln>
              <a:noFill/>
            </a:ln>
            <a:effectLst/>
          </c:spPr>
          <c:invertIfNegative val="0"/>
          <c:cat>
            <c:strRef>
              <c:f>' PIVOT TABLES &amp; CHARTS'!$A$141:$A$154</c:f>
              <c:strCache>
                <c:ptCount val="13"/>
                <c:pt idx="0">
                  <c:v>Chocolate</c:v>
                </c:pt>
                <c:pt idx="1">
                  <c:v>Biscuit</c:v>
                </c:pt>
                <c:pt idx="2">
                  <c:v>Milk</c:v>
                </c:pt>
                <c:pt idx="3">
                  <c:v>Banana</c:v>
                </c:pt>
                <c:pt idx="4">
                  <c:v>Butter</c:v>
                </c:pt>
                <c:pt idx="5">
                  <c:v>Apple</c:v>
                </c:pt>
                <c:pt idx="6">
                  <c:v>Chips</c:v>
                </c:pt>
                <c:pt idx="7">
                  <c:v>Eggs</c:v>
                </c:pt>
                <c:pt idx="8">
                  <c:v>Fish</c:v>
                </c:pt>
                <c:pt idx="9">
                  <c:v>Bread</c:v>
                </c:pt>
                <c:pt idx="10">
                  <c:v>Ice Cream</c:v>
                </c:pt>
                <c:pt idx="11">
                  <c:v>Chicken</c:v>
                </c:pt>
                <c:pt idx="12">
                  <c:v>Cheese</c:v>
                </c:pt>
              </c:strCache>
            </c:strRef>
          </c:cat>
          <c:val>
            <c:numRef>
              <c:f>' PIVOT TABLES &amp; CHARTS'!$B$141:$B$154</c:f>
              <c:numCache>
                <c:formatCode>General</c:formatCode>
                <c:ptCount val="13"/>
                <c:pt idx="0">
                  <c:v>1080</c:v>
                </c:pt>
                <c:pt idx="1">
                  <c:v>440</c:v>
                </c:pt>
                <c:pt idx="2">
                  <c:v>1150</c:v>
                </c:pt>
                <c:pt idx="3">
                  <c:v>690</c:v>
                </c:pt>
                <c:pt idx="4">
                  <c:v>3750</c:v>
                </c:pt>
                <c:pt idx="5">
                  <c:v>3480</c:v>
                </c:pt>
                <c:pt idx="6">
                  <c:v>950</c:v>
                </c:pt>
                <c:pt idx="7">
                  <c:v>234</c:v>
                </c:pt>
                <c:pt idx="8">
                  <c:v>12300</c:v>
                </c:pt>
                <c:pt idx="9">
                  <c:v>1680</c:v>
                </c:pt>
                <c:pt idx="10">
                  <c:v>3640</c:v>
                </c:pt>
                <c:pt idx="11">
                  <c:v>13780</c:v>
                </c:pt>
                <c:pt idx="12">
                  <c:v>11000</c:v>
                </c:pt>
              </c:numCache>
            </c:numRef>
          </c:val>
          <c:extLst>
            <c:ext xmlns:c16="http://schemas.microsoft.com/office/drawing/2014/chart" uri="{C3380CC4-5D6E-409C-BE32-E72D297353CC}">
              <c16:uniqueId val="{00000000-E713-44BB-B1B1-82282D349770}"/>
            </c:ext>
          </c:extLst>
        </c:ser>
        <c:ser>
          <c:idx val="1"/>
          <c:order val="1"/>
          <c:tx>
            <c:strRef>
              <c:f>' PIVOT TABLES &amp; CHARTS'!$C$140</c:f>
              <c:strCache>
                <c:ptCount val="1"/>
                <c:pt idx="0">
                  <c:v>Sum of Quantity</c:v>
                </c:pt>
              </c:strCache>
            </c:strRef>
          </c:tx>
          <c:spPr>
            <a:solidFill>
              <a:schemeClr val="accent2"/>
            </a:solidFill>
            <a:ln>
              <a:noFill/>
            </a:ln>
            <a:effectLst/>
          </c:spPr>
          <c:invertIfNegative val="0"/>
          <c:cat>
            <c:strRef>
              <c:f>' PIVOT TABLES &amp; CHARTS'!$A$141:$A$154</c:f>
              <c:strCache>
                <c:ptCount val="13"/>
                <c:pt idx="0">
                  <c:v>Chocolate</c:v>
                </c:pt>
                <c:pt idx="1">
                  <c:v>Biscuit</c:v>
                </c:pt>
                <c:pt idx="2">
                  <c:v>Milk</c:v>
                </c:pt>
                <c:pt idx="3">
                  <c:v>Banana</c:v>
                </c:pt>
                <c:pt idx="4">
                  <c:v>Butter</c:v>
                </c:pt>
                <c:pt idx="5">
                  <c:v>Apple</c:v>
                </c:pt>
                <c:pt idx="6">
                  <c:v>Chips</c:v>
                </c:pt>
                <c:pt idx="7">
                  <c:v>Eggs</c:v>
                </c:pt>
                <c:pt idx="8">
                  <c:v>Fish</c:v>
                </c:pt>
                <c:pt idx="9">
                  <c:v>Bread</c:v>
                </c:pt>
                <c:pt idx="10">
                  <c:v>Ice Cream</c:v>
                </c:pt>
                <c:pt idx="11">
                  <c:v>Chicken</c:v>
                </c:pt>
                <c:pt idx="12">
                  <c:v>Cheese</c:v>
                </c:pt>
              </c:strCache>
            </c:strRef>
          </c:cat>
          <c:val>
            <c:numRef>
              <c:f>' PIVOT TABLES &amp; CHARTS'!$C$141:$C$154</c:f>
              <c:numCache>
                <c:formatCode>General</c:formatCode>
                <c:ptCount val="13"/>
                <c:pt idx="0">
                  <c:v>12</c:v>
                </c:pt>
                <c:pt idx="1">
                  <c:v>22</c:v>
                </c:pt>
                <c:pt idx="2">
                  <c:v>23</c:v>
                </c:pt>
                <c:pt idx="3">
                  <c:v>23</c:v>
                </c:pt>
                <c:pt idx="4">
                  <c:v>25</c:v>
                </c:pt>
                <c:pt idx="5">
                  <c:v>29</c:v>
                </c:pt>
                <c:pt idx="6">
                  <c:v>38</c:v>
                </c:pt>
                <c:pt idx="7">
                  <c:v>39</c:v>
                </c:pt>
                <c:pt idx="8">
                  <c:v>41</c:v>
                </c:pt>
                <c:pt idx="9">
                  <c:v>42</c:v>
                </c:pt>
                <c:pt idx="10">
                  <c:v>52</c:v>
                </c:pt>
                <c:pt idx="11">
                  <c:v>53</c:v>
                </c:pt>
                <c:pt idx="12">
                  <c:v>55</c:v>
                </c:pt>
              </c:numCache>
            </c:numRef>
          </c:val>
          <c:extLst>
            <c:ext xmlns:c16="http://schemas.microsoft.com/office/drawing/2014/chart" uri="{C3380CC4-5D6E-409C-BE32-E72D297353CC}">
              <c16:uniqueId val="{00000001-E713-44BB-B1B1-82282D349770}"/>
            </c:ext>
          </c:extLst>
        </c:ser>
        <c:dLbls>
          <c:showLegendKey val="0"/>
          <c:showVal val="0"/>
          <c:showCatName val="0"/>
          <c:showSerName val="0"/>
          <c:showPercent val="0"/>
          <c:showBubbleSize val="0"/>
        </c:dLbls>
        <c:gapWidth val="267"/>
        <c:overlap val="-43"/>
        <c:axId val="278409792"/>
        <c:axId val="278415616"/>
      </c:barChart>
      <c:catAx>
        <c:axId val="278409792"/>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278415616"/>
        <c:crosses val="autoZero"/>
        <c:auto val="1"/>
        <c:lblAlgn val="ctr"/>
        <c:lblOffset val="100"/>
        <c:noMultiLvlLbl val="0"/>
      </c:catAx>
      <c:valAx>
        <c:axId val="27841561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278409792"/>
        <c:crosses val="autoZero"/>
        <c:crossBetween val="between"/>
      </c:valAx>
      <c:spPr>
        <a:pattFill prst="ltDnDiag">
          <a:fgClr>
            <a:schemeClr val="dk1">
              <a:lumMod val="15000"/>
              <a:lumOff val="85000"/>
            </a:schemeClr>
          </a:fgClr>
          <a:bgClr>
            <a:schemeClr val="lt1"/>
          </a:bgClr>
        </a:patt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[Supermarket_Sales_Analytics_dashboard.xlsx] PIVOT TABLES &amp; CHARTS!PivotTable11</c:name>
    <c:fmtId val="8"/>
  </c:pivotSource>
  <c:chart>
    <c:title>
      <c:tx>
        <c:rich>
          <a:bodyPr rot="0" spcFirstLastPara="1" vertOverflow="ellipsis" vert="horz" wrap="square" anchor="ctr" anchorCtr="1"/>
          <a:lstStyle/>
          <a:p>
            <a:pPr algn="ctr">
              <a:defRPr sz="1800" b="1" i="0" u="none" strike="noStrike" kern="1200" cap="none" baseline="0">
                <a:solidFill>
                  <a:schemeClr val="lt1">
                    <a:lumMod val="85000"/>
                  </a:schemeClr>
                </a:solidFill>
                <a:latin typeface="+mn-lt"/>
                <a:ea typeface="+mn-ea"/>
                <a:cs typeface="+mn-cs"/>
              </a:defRPr>
            </a:pPr>
            <a:r>
              <a:rPr lang="en-US" sz="1800">
                <a:solidFill>
                  <a:schemeClr val="accent3"/>
                </a:solidFill>
              </a:rPr>
              <a:t>Revenue By Month and Day Combination</a:t>
            </a:r>
          </a:p>
        </c:rich>
      </c:tx>
      <c:overlay val="0"/>
      <c:spPr>
        <a:noFill/>
        <a:ln>
          <a:noFill/>
        </a:ln>
        <a:effectLst/>
      </c:spPr>
      <c:txPr>
        <a:bodyPr rot="0" spcFirstLastPara="1" vertOverflow="ellipsis" vert="horz" wrap="square" anchor="ctr" anchorCtr="1"/>
        <a:lstStyle/>
        <a:p>
          <a:pPr algn="ctr">
            <a:defRPr sz="18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pivotFmt>
      <c:pivotFmt>
        <c:idx val="2"/>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w="9525" cap="flat" cmpd="sng" algn="ctr">
            <a:solidFill>
              <a:schemeClr val="accent1"/>
            </a:solidFill>
            <a:miter lim="800000"/>
          </a:ln>
          <a:effectLst>
            <a:glow rad="63500">
              <a:schemeClr val="accent1">
                <a:satMod val="175000"/>
                <a:alpha val="25000"/>
              </a:schemeClr>
            </a:glow>
          </a:effectLst>
        </c:spPr>
        <c:marker>
          <c:symbol val="none"/>
        </c:marker>
      </c:pivotFmt>
    </c:pivotFmts>
    <c:plotArea>
      <c:layout/>
      <c:barChart>
        <c:barDir val="col"/>
        <c:grouping val="clustered"/>
        <c:varyColors val="0"/>
        <c:ser>
          <c:idx val="0"/>
          <c:order val="0"/>
          <c:tx>
            <c:strRef>
              <c:f>' PIVOT TABLES &amp; CHARTS'!$B$166</c:f>
              <c:strCache>
                <c:ptCount val="1"/>
                <c:pt idx="0">
                  <c:v>Total</c:v>
                </c:pt>
              </c:strCache>
            </c:strRef>
          </c:tx>
          <c:spPr>
            <a:solidFill>
              <a:srgbClr val="92D050"/>
            </a:solidFill>
            <a:ln w="9525" cap="flat" cmpd="sng" algn="ctr">
              <a:solidFill>
                <a:schemeClr val="accent1"/>
              </a:solidFill>
              <a:miter lim="800000"/>
            </a:ln>
            <a:effectLst>
              <a:glow rad="63500">
                <a:schemeClr val="accent1">
                  <a:satMod val="175000"/>
                  <a:alpha val="25000"/>
                </a:schemeClr>
              </a:glow>
            </a:effectLst>
          </c:spPr>
          <c:invertIfNegative val="0"/>
          <c:dLbls>
            <c:delete val="1"/>
          </c:dLbls>
          <c:cat>
            <c:multiLvlStrRef>
              <c:f>' PIVOT TABLES &amp; CHARTS'!$A$167:$A$188</c:f>
              <c:multiLvlStrCache>
                <c:ptCount val="14"/>
                <c:lvl>
                  <c:pt idx="0">
                    <c:v>Feb</c:v>
                  </c:pt>
                  <c:pt idx="1">
                    <c:v>Jan</c:v>
                  </c:pt>
                  <c:pt idx="2">
                    <c:v>Feb</c:v>
                  </c:pt>
                  <c:pt idx="3">
                    <c:v>Jan</c:v>
                  </c:pt>
                  <c:pt idx="4">
                    <c:v>Jan</c:v>
                  </c:pt>
                  <c:pt idx="5">
                    <c:v>Feb</c:v>
                  </c:pt>
                  <c:pt idx="6">
                    <c:v>Feb</c:v>
                  </c:pt>
                  <c:pt idx="7">
                    <c:v>Jan</c:v>
                  </c:pt>
                  <c:pt idx="8">
                    <c:v>Jan</c:v>
                  </c:pt>
                  <c:pt idx="9">
                    <c:v>Feb</c:v>
                  </c:pt>
                  <c:pt idx="10">
                    <c:v>Feb</c:v>
                  </c:pt>
                  <c:pt idx="11">
                    <c:v>Jan</c:v>
                  </c:pt>
                  <c:pt idx="12">
                    <c:v>Jan</c:v>
                  </c:pt>
                  <c:pt idx="13">
                    <c:v>Feb</c:v>
                  </c:pt>
                </c:lvl>
                <c:lvl>
                  <c:pt idx="0">
                    <c:v>Sunday</c:v>
                  </c:pt>
                  <c:pt idx="2">
                    <c:v>Monday</c:v>
                  </c:pt>
                  <c:pt idx="4">
                    <c:v>Tuesday</c:v>
                  </c:pt>
                  <c:pt idx="6">
                    <c:v>Wednesday</c:v>
                  </c:pt>
                  <c:pt idx="8">
                    <c:v>Thursday</c:v>
                  </c:pt>
                  <c:pt idx="10">
                    <c:v>Friday</c:v>
                  </c:pt>
                  <c:pt idx="12">
                    <c:v>Saturday</c:v>
                  </c:pt>
                </c:lvl>
              </c:multiLvlStrCache>
            </c:multiLvlStrRef>
          </c:cat>
          <c:val>
            <c:numRef>
              <c:f>' PIVOT TABLES &amp; CHARTS'!$B$167:$B$188</c:f>
              <c:numCache>
                <c:formatCode>General</c:formatCode>
                <c:ptCount val="14"/>
                <c:pt idx="0">
                  <c:v>3620</c:v>
                </c:pt>
                <c:pt idx="1">
                  <c:v>1120</c:v>
                </c:pt>
                <c:pt idx="2">
                  <c:v>3705</c:v>
                </c:pt>
                <c:pt idx="3">
                  <c:v>1350</c:v>
                </c:pt>
                <c:pt idx="4">
                  <c:v>4120</c:v>
                </c:pt>
                <c:pt idx="5">
                  <c:v>2549</c:v>
                </c:pt>
                <c:pt idx="6">
                  <c:v>8492</c:v>
                </c:pt>
                <c:pt idx="7">
                  <c:v>4090</c:v>
                </c:pt>
                <c:pt idx="8">
                  <c:v>3960</c:v>
                </c:pt>
                <c:pt idx="9">
                  <c:v>2380</c:v>
                </c:pt>
                <c:pt idx="10">
                  <c:v>8534</c:v>
                </c:pt>
                <c:pt idx="11">
                  <c:v>5188</c:v>
                </c:pt>
                <c:pt idx="12">
                  <c:v>2626</c:v>
                </c:pt>
                <c:pt idx="13">
                  <c:v>2440</c:v>
                </c:pt>
              </c:numCache>
            </c:numRef>
          </c:val>
          <c:extLst>
            <c:ext xmlns:c16="http://schemas.microsoft.com/office/drawing/2014/chart" uri="{C3380CC4-5D6E-409C-BE32-E72D297353CC}">
              <c16:uniqueId val="{00000000-5AA6-4A88-A525-CEBA89749955}"/>
            </c:ext>
          </c:extLst>
        </c:ser>
        <c:dLbls>
          <c:dLblPos val="outEnd"/>
          <c:showLegendKey val="0"/>
          <c:showVal val="1"/>
          <c:showCatName val="0"/>
          <c:showSerName val="0"/>
          <c:showPercent val="0"/>
          <c:showBubbleSize val="0"/>
        </c:dLbls>
        <c:gapWidth val="315"/>
        <c:overlap val="-40"/>
        <c:axId val="246890544"/>
        <c:axId val="246890960"/>
      </c:barChart>
      <c:catAx>
        <c:axId val="24689054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46890960"/>
        <c:crosses val="autoZero"/>
        <c:auto val="1"/>
        <c:lblAlgn val="ctr"/>
        <c:lblOffset val="100"/>
        <c:noMultiLvlLbl val="0"/>
      </c:catAx>
      <c:valAx>
        <c:axId val="24689096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46890544"/>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0.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image" Target="../media/image1.png"/><Relationship Id="rId6" Type="http://schemas.openxmlformats.org/officeDocument/2006/relationships/chart" Target="../charts/chart15.xml"/><Relationship Id="rId11" Type="http://schemas.openxmlformats.org/officeDocument/2006/relationships/chart" Target="../charts/chart20.xml"/><Relationship Id="rId5" Type="http://schemas.openxmlformats.org/officeDocument/2006/relationships/chart" Target="../charts/chart14.xml"/><Relationship Id="rId10" Type="http://schemas.openxmlformats.org/officeDocument/2006/relationships/chart" Target="../charts/chart19.xml"/><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2</xdr:col>
      <xdr:colOff>274320</xdr:colOff>
      <xdr:row>2</xdr:row>
      <xdr:rowOff>129540</xdr:rowOff>
    </xdr:from>
    <xdr:to>
      <xdr:col>10</xdr:col>
      <xdr:colOff>251460</xdr:colOff>
      <xdr:row>17</xdr:row>
      <xdr:rowOff>99060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7620</xdr:colOff>
      <xdr:row>21</xdr:row>
      <xdr:rowOff>7620</xdr:rowOff>
    </xdr:from>
    <xdr:to>
      <xdr:col>10</xdr:col>
      <xdr:colOff>7620</xdr:colOff>
      <xdr:row>34</xdr:row>
      <xdr:rowOff>167640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38</xdr:row>
      <xdr:rowOff>179070</xdr:rowOff>
    </xdr:from>
    <xdr:to>
      <xdr:col>10</xdr:col>
      <xdr:colOff>304800</xdr:colOff>
      <xdr:row>50</xdr:row>
      <xdr:rowOff>114300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0</xdr:colOff>
      <xdr:row>56</xdr:row>
      <xdr:rowOff>0</xdr:rowOff>
    </xdr:from>
    <xdr:to>
      <xdr:col>10</xdr:col>
      <xdr:colOff>304800</xdr:colOff>
      <xdr:row>68</xdr:row>
      <xdr:rowOff>60960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38100</xdr:colOff>
      <xdr:row>73</xdr:row>
      <xdr:rowOff>133350</xdr:rowOff>
    </xdr:from>
    <xdr:to>
      <xdr:col>10</xdr:col>
      <xdr:colOff>487680</xdr:colOff>
      <xdr:row>87</xdr:row>
      <xdr:rowOff>121920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563880</xdr:colOff>
      <xdr:row>90</xdr:row>
      <xdr:rowOff>163830</xdr:rowOff>
    </xdr:from>
    <xdr:to>
      <xdr:col>10</xdr:col>
      <xdr:colOff>579120</xdr:colOff>
      <xdr:row>103</xdr:row>
      <xdr:rowOff>53340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22860</xdr:colOff>
      <xdr:row>105</xdr:row>
      <xdr:rowOff>175260</xdr:rowOff>
    </xdr:from>
    <xdr:to>
      <xdr:col>9</xdr:col>
      <xdr:colOff>731520</xdr:colOff>
      <xdr:row>120</xdr:row>
      <xdr:rowOff>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601980</xdr:colOff>
      <xdr:row>121</xdr:row>
      <xdr:rowOff>144780</xdr:rowOff>
    </xdr:from>
    <xdr:to>
      <xdr:col>11</xdr:col>
      <xdr:colOff>106680</xdr:colOff>
      <xdr:row>135</xdr:row>
      <xdr:rowOff>53340</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464820</xdr:colOff>
      <xdr:row>142</xdr:row>
      <xdr:rowOff>11430</xdr:rowOff>
    </xdr:from>
    <xdr:to>
      <xdr:col>12</xdr:col>
      <xdr:colOff>15240</xdr:colOff>
      <xdr:row>157</xdr:row>
      <xdr:rowOff>11430</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365760</xdr:colOff>
      <xdr:row>167</xdr:row>
      <xdr:rowOff>156210</xdr:rowOff>
    </xdr:from>
    <xdr:to>
      <xdr:col>11</xdr:col>
      <xdr:colOff>7620</xdr:colOff>
      <xdr:row>182</xdr:row>
      <xdr:rowOff>156210</xdr:rowOff>
    </xdr:to>
    <xdr:graphicFrame macro="">
      <xdr:nvGraphicFramePr>
        <xdr:cNvPr id="11" name="Chart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12</xdr:col>
      <xdr:colOff>502920</xdr:colOff>
      <xdr:row>112</xdr:row>
      <xdr:rowOff>91440</xdr:rowOff>
    </xdr:from>
    <xdr:to>
      <xdr:col>15</xdr:col>
      <xdr:colOff>502920</xdr:colOff>
      <xdr:row>125</xdr:row>
      <xdr:rowOff>180975</xdr:rowOff>
    </xdr:to>
    <mc:AlternateContent xmlns:mc="http://schemas.openxmlformats.org/markup-compatibility/2006" xmlns:a14="http://schemas.microsoft.com/office/drawing/2010/main">
      <mc:Choice Requires="a14">
        <xdr:graphicFrame macro="">
          <xdr:nvGraphicFramePr>
            <xdr:cNvPr id="12"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763000" y="205740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518160</xdr:colOff>
      <xdr:row>129</xdr:row>
      <xdr:rowOff>160020</xdr:rowOff>
    </xdr:from>
    <xdr:to>
      <xdr:col>15</xdr:col>
      <xdr:colOff>518160</xdr:colOff>
      <xdr:row>143</xdr:row>
      <xdr:rowOff>66675</xdr:rowOff>
    </xdr:to>
    <mc:AlternateContent xmlns:mc="http://schemas.openxmlformats.org/markup-compatibility/2006" xmlns:a14="http://schemas.microsoft.com/office/drawing/2010/main">
      <mc:Choice Requires="a14">
        <xdr:graphicFrame macro="">
          <xdr:nvGraphicFramePr>
            <xdr:cNvPr id="13"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8778240" y="237515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xdr:colOff>
      <xdr:row>0</xdr:row>
      <xdr:rowOff>60960</xdr:rowOff>
    </xdr:from>
    <xdr:to>
      <xdr:col>9</xdr:col>
      <xdr:colOff>152400</xdr:colOff>
      <xdr:row>5</xdr:row>
      <xdr:rowOff>53340</xdr:rowOff>
    </xdr:to>
    <xdr:sp macro="" textlink="">
      <xdr:nvSpPr>
        <xdr:cNvPr id="2" name="Rounded Rectangle 1"/>
        <xdr:cNvSpPr/>
      </xdr:nvSpPr>
      <xdr:spPr>
        <a:xfrm>
          <a:off x="38100" y="60960"/>
          <a:ext cx="5600700" cy="892925"/>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228599</xdr:colOff>
      <xdr:row>1</xdr:row>
      <xdr:rowOff>41564</xdr:rowOff>
    </xdr:from>
    <xdr:to>
      <xdr:col>8</xdr:col>
      <xdr:colOff>277090</xdr:colOff>
      <xdr:row>4</xdr:row>
      <xdr:rowOff>60960</xdr:rowOff>
    </xdr:to>
    <xdr:sp macro="" textlink="">
      <xdr:nvSpPr>
        <xdr:cNvPr id="3" name="TextBox 2"/>
        <xdr:cNvSpPr txBox="1"/>
      </xdr:nvSpPr>
      <xdr:spPr>
        <a:xfrm>
          <a:off x="1447799" y="221673"/>
          <a:ext cx="3706091" cy="559723"/>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a:t>Supermarket</a:t>
          </a:r>
          <a:r>
            <a:rPr lang="en-US" sz="2800" b="1" baseline="0"/>
            <a:t> Billing </a:t>
          </a:r>
          <a:endParaRPr lang="en-US" sz="2800" b="1"/>
        </a:p>
      </xdr:txBody>
    </xdr:sp>
    <xdr:clientData/>
  </xdr:twoCellAnchor>
  <xdr:twoCellAnchor editAs="oneCell">
    <xdr:from>
      <xdr:col>0</xdr:col>
      <xdr:colOff>160019</xdr:colOff>
      <xdr:row>0</xdr:row>
      <xdr:rowOff>76199</xdr:rowOff>
    </xdr:from>
    <xdr:to>
      <xdr:col>2</xdr:col>
      <xdr:colOff>106680</xdr:colOff>
      <xdr:row>5</xdr:row>
      <xdr:rowOff>48432</xdr:rowOff>
    </xdr:to>
    <xdr:pic>
      <xdr:nvPicPr>
        <xdr:cNvPr id="4"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0019" y="76199"/>
          <a:ext cx="1165861" cy="886633"/>
        </a:xfrm>
        <a:prstGeom prst="rect">
          <a:avLst/>
        </a:prstGeom>
        <a:solidFill>
          <a:schemeClr val="accent1">
            <a:lumMod val="60000"/>
            <a:lumOff val="40000"/>
          </a:schemeClr>
        </a:solidFill>
      </xdr:spPr>
    </xdr:pic>
    <xdr:clientData/>
  </xdr:twoCellAnchor>
  <xdr:twoCellAnchor>
    <xdr:from>
      <xdr:col>0</xdr:col>
      <xdr:colOff>53340</xdr:colOff>
      <xdr:row>5</xdr:row>
      <xdr:rowOff>121920</xdr:rowOff>
    </xdr:from>
    <xdr:to>
      <xdr:col>2</xdr:col>
      <xdr:colOff>266700</xdr:colOff>
      <xdr:row>14</xdr:row>
      <xdr:rowOff>152400</xdr:rowOff>
    </xdr:to>
    <xdr:sp macro="" textlink="">
      <xdr:nvSpPr>
        <xdr:cNvPr id="5" name="Rectangle 4"/>
        <xdr:cNvSpPr/>
      </xdr:nvSpPr>
      <xdr:spPr>
        <a:xfrm>
          <a:off x="53340" y="1036320"/>
          <a:ext cx="1432560" cy="16764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391887</xdr:colOff>
      <xdr:row>5</xdr:row>
      <xdr:rowOff>137160</xdr:rowOff>
    </xdr:from>
    <xdr:to>
      <xdr:col>4</xdr:col>
      <xdr:colOff>370115</xdr:colOff>
      <xdr:row>9</xdr:row>
      <xdr:rowOff>65315</xdr:rowOff>
    </xdr:to>
    <xdr:sp macro="" textlink="">
      <xdr:nvSpPr>
        <xdr:cNvPr id="11" name="Rounded Rectangle 10"/>
        <xdr:cNvSpPr/>
      </xdr:nvSpPr>
      <xdr:spPr>
        <a:xfrm>
          <a:off x="1611087" y="1062446"/>
          <a:ext cx="1197428" cy="668383"/>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478971</xdr:colOff>
      <xdr:row>6</xdr:row>
      <xdr:rowOff>130627</xdr:rowOff>
    </xdr:from>
    <xdr:to>
      <xdr:col>4</xdr:col>
      <xdr:colOff>424544</xdr:colOff>
      <xdr:row>8</xdr:row>
      <xdr:rowOff>130628</xdr:rowOff>
    </xdr:to>
    <xdr:sp macro="" textlink="">
      <xdr:nvSpPr>
        <xdr:cNvPr id="13" name="TextBox 12"/>
        <xdr:cNvSpPr txBox="1"/>
      </xdr:nvSpPr>
      <xdr:spPr>
        <a:xfrm>
          <a:off x="1698171" y="1240970"/>
          <a:ext cx="1164773" cy="3701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Monthly</a:t>
          </a:r>
          <a:r>
            <a:rPr lang="en-US" sz="1100" b="1" baseline="0"/>
            <a:t> Report</a:t>
          </a:r>
          <a:endParaRPr lang="en-US" sz="1100" b="1"/>
        </a:p>
      </xdr:txBody>
    </xdr:sp>
    <xdr:clientData/>
  </xdr:twoCellAnchor>
  <xdr:twoCellAnchor editAs="oneCell">
    <xdr:from>
      <xdr:col>0</xdr:col>
      <xdr:colOff>60960</xdr:colOff>
      <xdr:row>5</xdr:row>
      <xdr:rowOff>144780</xdr:rowOff>
    </xdr:from>
    <xdr:to>
      <xdr:col>2</xdr:col>
      <xdr:colOff>266700</xdr:colOff>
      <xdr:row>14</xdr:row>
      <xdr:rowOff>144780</xdr:rowOff>
    </xdr:to>
    <mc:AlternateContent xmlns:mc="http://schemas.openxmlformats.org/markup-compatibility/2006" xmlns:a14="http://schemas.microsoft.com/office/drawing/2010/main">
      <mc:Choice Requires="a14">
        <xdr:graphicFrame macro="">
          <xdr:nvGraphicFramePr>
            <xdr:cNvPr id="15" name="Month 1"/>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60960" y="1041251"/>
              <a:ext cx="1424940" cy="16136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53340</xdr:colOff>
      <xdr:row>15</xdr:row>
      <xdr:rowOff>69274</xdr:rowOff>
    </xdr:from>
    <xdr:to>
      <xdr:col>2</xdr:col>
      <xdr:colOff>274320</xdr:colOff>
      <xdr:row>29</xdr:row>
      <xdr:rowOff>83128</xdr:rowOff>
    </xdr:to>
    <xdr:sp macro="" textlink="">
      <xdr:nvSpPr>
        <xdr:cNvPr id="8" name="Rectangle 7"/>
        <xdr:cNvSpPr/>
      </xdr:nvSpPr>
      <xdr:spPr>
        <a:xfrm>
          <a:off x="53340" y="2770910"/>
          <a:ext cx="1440180" cy="253538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83126</xdr:colOff>
      <xdr:row>15</xdr:row>
      <xdr:rowOff>96982</xdr:rowOff>
    </xdr:from>
    <xdr:to>
      <xdr:col>2</xdr:col>
      <xdr:colOff>259079</xdr:colOff>
      <xdr:row>29</xdr:row>
      <xdr:rowOff>55419</xdr:rowOff>
    </xdr:to>
    <mc:AlternateContent xmlns:mc="http://schemas.openxmlformats.org/markup-compatibility/2006" xmlns:a14="http://schemas.microsoft.com/office/drawing/2010/main">
      <mc:Choice Requires="a14">
        <xdr:graphicFrame macro="">
          <xdr:nvGraphicFramePr>
            <xdr:cNvPr id="17" name="Category 2"/>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83126" y="2786394"/>
              <a:ext cx="1395153" cy="24685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381000</xdr:colOff>
      <xdr:row>9</xdr:row>
      <xdr:rowOff>144780</xdr:rowOff>
    </xdr:from>
    <xdr:to>
      <xdr:col>8</xdr:col>
      <xdr:colOff>0</xdr:colOff>
      <xdr:row>19</xdr:row>
      <xdr:rowOff>7620</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362989</xdr:colOff>
      <xdr:row>19</xdr:row>
      <xdr:rowOff>77585</xdr:rowOff>
    </xdr:from>
    <xdr:to>
      <xdr:col>7</xdr:col>
      <xdr:colOff>454429</xdr:colOff>
      <xdr:row>29</xdr:row>
      <xdr:rowOff>55417</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213359</xdr:colOff>
      <xdr:row>9</xdr:row>
      <xdr:rowOff>160020</xdr:rowOff>
    </xdr:from>
    <xdr:to>
      <xdr:col>14</xdr:col>
      <xdr:colOff>124690</xdr:colOff>
      <xdr:row>18</xdr:row>
      <xdr:rowOff>167640</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4156</xdr:colOff>
      <xdr:row>19</xdr:row>
      <xdr:rowOff>117071</xdr:rowOff>
    </xdr:from>
    <xdr:to>
      <xdr:col>12</xdr:col>
      <xdr:colOff>133696</xdr:colOff>
      <xdr:row>29</xdr:row>
      <xdr:rowOff>78971</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424544</xdr:colOff>
      <xdr:row>6</xdr:row>
      <xdr:rowOff>42461</xdr:rowOff>
    </xdr:from>
    <xdr:to>
      <xdr:col>6</xdr:col>
      <xdr:colOff>283030</xdr:colOff>
      <xdr:row>8</xdr:row>
      <xdr:rowOff>148326</xdr:rowOff>
    </xdr:to>
    <xdr:sp macro="" textlink="">
      <xdr:nvSpPr>
        <xdr:cNvPr id="10" name="TextBox 9"/>
        <xdr:cNvSpPr txBox="1"/>
      </xdr:nvSpPr>
      <xdr:spPr>
        <a:xfrm>
          <a:off x="2862944" y="1152804"/>
          <a:ext cx="1077686" cy="4759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b="1"/>
            <a:t>Total Revenue (₹1,05,333)</a:t>
          </a:r>
          <a:endParaRPr lang="en-US" sz="1100"/>
        </a:p>
      </xdr:txBody>
    </xdr:sp>
    <xdr:clientData/>
  </xdr:twoCellAnchor>
  <xdr:twoCellAnchor>
    <xdr:from>
      <xdr:col>6</xdr:col>
      <xdr:colOff>337457</xdr:colOff>
      <xdr:row>6</xdr:row>
      <xdr:rowOff>43032</xdr:rowOff>
    </xdr:from>
    <xdr:to>
      <xdr:col>8</xdr:col>
      <xdr:colOff>43543</xdr:colOff>
      <xdr:row>8</xdr:row>
      <xdr:rowOff>152400</xdr:rowOff>
    </xdr:to>
    <xdr:sp macro="" textlink="">
      <xdr:nvSpPr>
        <xdr:cNvPr id="23" name="TextBox 22"/>
        <xdr:cNvSpPr txBox="1"/>
      </xdr:nvSpPr>
      <xdr:spPr>
        <a:xfrm>
          <a:off x="3995057" y="1153375"/>
          <a:ext cx="925286" cy="4794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b="1"/>
            <a:t>Total Orders </a:t>
          </a:r>
        </a:p>
        <a:p>
          <a:pPr algn="ctr"/>
          <a:r>
            <a:rPr lang="en-US" sz="1100" b="1"/>
            <a:t>(200)</a:t>
          </a:r>
        </a:p>
        <a:p>
          <a:pPr algn="ctr"/>
          <a:endParaRPr lang="en-US" sz="1100" b="1"/>
        </a:p>
      </xdr:txBody>
    </xdr:sp>
    <xdr:clientData/>
  </xdr:twoCellAnchor>
  <xdr:twoCellAnchor>
    <xdr:from>
      <xdr:col>8</xdr:col>
      <xdr:colOff>77463</xdr:colOff>
      <xdr:row>6</xdr:row>
      <xdr:rowOff>21772</xdr:rowOff>
    </xdr:from>
    <xdr:to>
      <xdr:col>9</xdr:col>
      <xdr:colOff>161283</xdr:colOff>
      <xdr:row>9</xdr:row>
      <xdr:rowOff>76201</xdr:rowOff>
    </xdr:to>
    <xdr:sp macro="" textlink="">
      <xdr:nvSpPr>
        <xdr:cNvPr id="24" name="TextBox 23"/>
        <xdr:cNvSpPr txBox="1"/>
      </xdr:nvSpPr>
      <xdr:spPr>
        <a:xfrm>
          <a:off x="4954263" y="1132115"/>
          <a:ext cx="693420" cy="609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Avg Bill Value</a:t>
          </a:r>
        </a:p>
        <a:p>
          <a:pPr algn="ctr"/>
          <a:r>
            <a:rPr lang="en-US" sz="1100" b="1"/>
            <a:t>(526.67)</a:t>
          </a:r>
        </a:p>
        <a:p>
          <a:pPr algn="ctr"/>
          <a:endParaRPr lang="en-US" sz="1100" b="1"/>
        </a:p>
      </xdr:txBody>
    </xdr:sp>
    <xdr:clientData/>
  </xdr:twoCellAnchor>
  <xdr:twoCellAnchor>
    <xdr:from>
      <xdr:col>14</xdr:col>
      <xdr:colOff>249384</xdr:colOff>
      <xdr:row>0</xdr:row>
      <xdr:rowOff>41564</xdr:rowOff>
    </xdr:from>
    <xdr:to>
      <xdr:col>18</xdr:col>
      <xdr:colOff>304800</xdr:colOff>
      <xdr:row>18</xdr:row>
      <xdr:rowOff>138545</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249382</xdr:colOff>
      <xdr:row>19</xdr:row>
      <xdr:rowOff>96982</xdr:rowOff>
    </xdr:from>
    <xdr:to>
      <xdr:col>17</xdr:col>
      <xdr:colOff>484910</xdr:colOff>
      <xdr:row>29</xdr:row>
      <xdr:rowOff>83129</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251013</xdr:colOff>
      <xdr:row>0</xdr:row>
      <xdr:rowOff>17929</xdr:rowOff>
    </xdr:from>
    <xdr:to>
      <xdr:col>14</xdr:col>
      <xdr:colOff>188259</xdr:colOff>
      <xdr:row>9</xdr:row>
      <xdr:rowOff>152400</xdr:rowOff>
    </xdr:to>
    <xdr:graphicFrame macro="">
      <xdr:nvGraphicFramePr>
        <xdr:cNvPr id="27" name="Chart 2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595745</xdr:colOff>
      <xdr:row>19</xdr:row>
      <xdr:rowOff>110836</xdr:rowOff>
    </xdr:from>
    <xdr:to>
      <xdr:col>23</xdr:col>
      <xdr:colOff>568036</xdr:colOff>
      <xdr:row>29</xdr:row>
      <xdr:rowOff>96982</xdr:rowOff>
    </xdr:to>
    <xdr:graphicFrame macro="">
      <xdr:nvGraphicFramePr>
        <xdr:cNvPr id="28" name="Chart 2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401782</xdr:colOff>
      <xdr:row>0</xdr:row>
      <xdr:rowOff>44824</xdr:rowOff>
    </xdr:from>
    <xdr:to>
      <xdr:col>23</xdr:col>
      <xdr:colOff>554182</xdr:colOff>
      <xdr:row>18</xdr:row>
      <xdr:rowOff>125506</xdr:rowOff>
    </xdr:to>
    <xdr:graphicFrame macro="">
      <xdr:nvGraphicFramePr>
        <xdr:cNvPr id="29" name="Chart 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69271</xdr:colOff>
      <xdr:row>29</xdr:row>
      <xdr:rowOff>152400</xdr:rowOff>
    </xdr:from>
    <xdr:to>
      <xdr:col>23</xdr:col>
      <xdr:colOff>526473</xdr:colOff>
      <xdr:row>42</xdr:row>
      <xdr:rowOff>110836</xdr:rowOff>
    </xdr:to>
    <xdr:graphicFrame macro="">
      <xdr:nvGraphicFramePr>
        <xdr:cNvPr id="30" name="Chart 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ENOVO" refreshedDate="46064.934082060186" createdVersion="6" refreshedVersion="6" minRefreshableVersion="3" recordCount="200">
  <cacheSource type="worksheet">
    <worksheetSource name="Table1"/>
  </cacheSource>
  <cacheFields count="11">
    <cacheField name="Date" numFmtId="14">
      <sharedItems containsSemiMixedTypes="0" containsNonDate="0" containsDate="1" containsString="0" minDate="2025-01-01T00:00:00" maxDate="2025-04-02T00:00:00" count="82">
        <d v="2025-03-12T00:00:00"/>
        <d v="2025-03-24T00:00:00"/>
        <d v="2025-03-01T00:00:00"/>
        <d v="2025-01-06T00:00:00"/>
        <d v="2025-04-01T00:00:00"/>
        <d v="2025-02-21T00:00:00"/>
        <d v="2025-02-22T00:00:00"/>
        <d v="2025-03-21T00:00:00"/>
        <d v="2025-01-10T00:00:00"/>
        <d v="2025-03-10T00:00:00"/>
        <d v="2025-03-09T00:00:00"/>
        <d v="2025-01-24T00:00:00"/>
        <d v="2025-01-08T00:00:00"/>
        <d v="2025-02-11T00:00:00"/>
        <d v="2025-03-04T00:00:00"/>
        <d v="2025-03-06T00:00:00"/>
        <d v="2025-01-22T00:00:00"/>
        <d v="2025-01-31T00:00:00"/>
        <d v="2025-02-16T00:00:00"/>
        <d v="2025-03-31T00:00:00"/>
        <d v="2025-01-28T00:00:00"/>
        <d v="2025-01-09T00:00:00"/>
        <d v="2025-02-07T00:00:00"/>
        <d v="2025-02-14T00:00:00"/>
        <d v="2025-01-01T00:00:00"/>
        <d v="2025-02-09T00:00:00"/>
        <d v="2025-02-05T00:00:00"/>
        <d v="2025-02-12T00:00:00"/>
        <d v="2025-02-25T00:00:00"/>
        <d v="2025-03-02T00:00:00"/>
        <d v="2025-03-20T00:00:00"/>
        <d v="2025-02-26T00:00:00"/>
        <d v="2025-01-14T00:00:00"/>
        <d v="2025-01-25T00:00:00"/>
        <d v="2025-03-17T00:00:00"/>
        <d v="2025-01-15T00:00:00"/>
        <d v="2025-03-25T00:00:00"/>
        <d v="2025-01-29T00:00:00"/>
        <d v="2025-03-26T00:00:00"/>
        <d v="2025-03-05T00:00:00"/>
        <d v="2025-03-07T00:00:00"/>
        <d v="2025-03-11T00:00:00"/>
        <d v="2025-03-18T00:00:00"/>
        <d v="2025-03-13T00:00:00"/>
        <d v="2025-01-03T00:00:00"/>
        <d v="2025-03-22T00:00:00"/>
        <d v="2025-01-13T00:00:00"/>
        <d v="2025-02-02T00:00:00"/>
        <d v="2025-02-28T00:00:00"/>
        <d v="2025-01-26T00:00:00"/>
        <d v="2025-02-15T00:00:00"/>
        <d v="2025-02-24T00:00:00"/>
        <d v="2025-02-10T00:00:00"/>
        <d v="2025-03-29T00:00:00"/>
        <d v="2025-02-19T00:00:00"/>
        <d v="2025-03-14T00:00:00"/>
        <d v="2025-03-23T00:00:00"/>
        <d v="2025-03-03T00:00:00"/>
        <d v="2025-01-19T00:00:00"/>
        <d v="2025-03-16T00:00:00"/>
        <d v="2025-02-17T00:00:00"/>
        <d v="2025-02-06T00:00:00"/>
        <d v="2025-01-11T00:00:00"/>
        <d v="2025-01-17T00:00:00"/>
        <d v="2025-01-05T00:00:00"/>
        <d v="2025-02-18T00:00:00"/>
        <d v="2025-02-08T00:00:00"/>
        <d v="2025-01-07T00:00:00"/>
        <d v="2025-01-18T00:00:00"/>
        <d v="2025-02-03T00:00:00"/>
        <d v="2025-01-12T00:00:00"/>
        <d v="2025-01-21T00:00:00"/>
        <d v="2025-03-15T00:00:00"/>
        <d v="2025-01-23T00:00:00"/>
        <d v="2025-02-20T00:00:00"/>
        <d v="2025-02-27T00:00:00"/>
        <d v="2025-01-30T00:00:00"/>
        <d v="2025-01-04T00:00:00"/>
        <d v="2025-03-27T00:00:00"/>
        <d v="2025-03-28T00:00:00"/>
        <d v="2025-03-30T00:00:00"/>
        <d v="2025-01-16T00:00:00"/>
      </sharedItems>
    </cacheField>
    <cacheField name="Bill_No" numFmtId="0">
      <sharedItems/>
    </cacheField>
    <cacheField name="Product_Name" numFmtId="0">
      <sharedItems count="20">
        <s v="Eggs"/>
        <s v="Onion"/>
        <s v="Chicken"/>
        <s v="Cold Drink"/>
        <s v="Wheat Flour"/>
        <s v="Fish"/>
        <s v="Bread"/>
        <s v="Apple"/>
        <s v="Juice"/>
        <s v="Sugar"/>
        <s v="Chocolate"/>
        <s v="Ice Cream"/>
        <s v="Tomato"/>
        <s v="Butter"/>
        <s v="Biscuit"/>
        <s v="Cheese"/>
        <s v="Chips"/>
        <s v="Banana"/>
        <s v="Milk"/>
        <s v="Rice"/>
      </sharedItems>
    </cacheField>
    <cacheField name="Category" numFmtId="0">
      <sharedItems count="8">
        <s v="Poultry"/>
        <s v="Vegetables"/>
        <s v="Beverages"/>
        <s v="Grocery"/>
        <s v="Bakery"/>
        <s v="Fruits"/>
        <s v="Snacks"/>
        <s v="Dairy"/>
      </sharedItems>
    </cacheField>
    <cacheField name="Quantity" numFmtId="0">
      <sharedItems containsSemiMixedTypes="0" containsString="0" containsNumber="1" containsInteger="1" minValue="1" maxValue="10"/>
    </cacheField>
    <cacheField name="Unit_Price" numFmtId="0">
      <sharedItems containsSemiMixedTypes="0" containsString="0" containsNumber="1" containsInteger="1" minValue="6" maxValue="300"/>
    </cacheField>
    <cacheField name="Payment_Mode" numFmtId="0">
      <sharedItems count="3">
        <s v="UPI"/>
        <s v="Cash"/>
        <s v="Card"/>
      </sharedItems>
    </cacheField>
    <cacheField name="Total_Amount" numFmtId="0">
      <sharedItems containsSemiMixedTypes="0" containsString="0" containsNumber="1" containsInteger="1" minValue="12" maxValue="3000"/>
    </cacheField>
    <cacheField name="Month" numFmtId="0">
      <sharedItems count="4">
        <s v="Mar"/>
        <s v="Jan"/>
        <s v="Apr"/>
        <s v="Feb"/>
      </sharedItems>
    </cacheField>
    <cacheField name="Day_Name" numFmtId="0">
      <sharedItems count="7">
        <s v="Wednesday"/>
        <s v="Monday"/>
        <s v="Saturday"/>
        <s v="Tuesday"/>
        <s v="Friday"/>
        <s v="Sunday"/>
        <s v="Thursday"/>
      </sharedItems>
    </cacheField>
    <cacheField name="Bill_Category"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00">
  <r>
    <x v="0"/>
    <s v="B001"/>
    <x v="0"/>
    <x v="0"/>
    <n v="4"/>
    <n v="6"/>
    <x v="0"/>
    <n v="24"/>
    <x v="0"/>
    <x v="0"/>
    <s v="Low"/>
  </r>
  <r>
    <x v="1"/>
    <s v="B002"/>
    <x v="1"/>
    <x v="1"/>
    <n v="1"/>
    <n v="30"/>
    <x v="1"/>
    <n v="30"/>
    <x v="0"/>
    <x v="1"/>
    <s v="Low"/>
  </r>
  <r>
    <x v="2"/>
    <s v="B003"/>
    <x v="2"/>
    <x v="0"/>
    <n v="8"/>
    <n v="260"/>
    <x v="2"/>
    <n v="2080"/>
    <x v="0"/>
    <x v="2"/>
    <s v="High"/>
  </r>
  <r>
    <x v="3"/>
    <s v="B004"/>
    <x v="3"/>
    <x v="2"/>
    <n v="3"/>
    <n v="60"/>
    <x v="2"/>
    <n v="180"/>
    <x v="1"/>
    <x v="1"/>
    <s v="Medium"/>
  </r>
  <r>
    <x v="4"/>
    <s v="B005"/>
    <x v="2"/>
    <x v="0"/>
    <n v="8"/>
    <n v="260"/>
    <x v="2"/>
    <n v="2080"/>
    <x v="2"/>
    <x v="3"/>
    <s v="High"/>
  </r>
  <r>
    <x v="5"/>
    <s v="B006"/>
    <x v="4"/>
    <x v="3"/>
    <n v="8"/>
    <n v="55"/>
    <x v="0"/>
    <n v="440"/>
    <x v="3"/>
    <x v="4"/>
    <s v="Medium"/>
  </r>
  <r>
    <x v="6"/>
    <s v="B007"/>
    <x v="1"/>
    <x v="1"/>
    <n v="4"/>
    <n v="30"/>
    <x v="2"/>
    <n v="120"/>
    <x v="3"/>
    <x v="2"/>
    <s v="Medium"/>
  </r>
  <r>
    <x v="7"/>
    <s v="B008"/>
    <x v="5"/>
    <x v="0"/>
    <n v="10"/>
    <n v="300"/>
    <x v="1"/>
    <n v="3000"/>
    <x v="0"/>
    <x v="4"/>
    <s v="High"/>
  </r>
  <r>
    <x v="8"/>
    <s v="B009"/>
    <x v="5"/>
    <x v="0"/>
    <n v="1"/>
    <n v="300"/>
    <x v="0"/>
    <n v="300"/>
    <x v="1"/>
    <x v="4"/>
    <s v="Medium"/>
  </r>
  <r>
    <x v="9"/>
    <s v="B010"/>
    <x v="6"/>
    <x v="4"/>
    <n v="5"/>
    <n v="40"/>
    <x v="2"/>
    <n v="200"/>
    <x v="0"/>
    <x v="1"/>
    <s v="Medium"/>
  </r>
  <r>
    <x v="10"/>
    <s v="B011"/>
    <x v="1"/>
    <x v="1"/>
    <n v="9"/>
    <n v="30"/>
    <x v="1"/>
    <n v="270"/>
    <x v="0"/>
    <x v="5"/>
    <s v="Medium"/>
  </r>
  <r>
    <x v="11"/>
    <s v="B012"/>
    <x v="7"/>
    <x v="5"/>
    <n v="7"/>
    <n v="120"/>
    <x v="2"/>
    <n v="840"/>
    <x v="1"/>
    <x v="4"/>
    <s v="High"/>
  </r>
  <r>
    <x v="5"/>
    <s v="B013"/>
    <x v="1"/>
    <x v="1"/>
    <n v="2"/>
    <n v="30"/>
    <x v="0"/>
    <n v="60"/>
    <x v="3"/>
    <x v="4"/>
    <s v="Low"/>
  </r>
  <r>
    <x v="12"/>
    <s v="B014"/>
    <x v="6"/>
    <x v="4"/>
    <n v="10"/>
    <n v="40"/>
    <x v="2"/>
    <n v="400"/>
    <x v="1"/>
    <x v="0"/>
    <s v="Medium"/>
  </r>
  <r>
    <x v="13"/>
    <s v="B015"/>
    <x v="8"/>
    <x v="2"/>
    <n v="8"/>
    <n v="80"/>
    <x v="1"/>
    <n v="640"/>
    <x v="3"/>
    <x v="3"/>
    <s v="High"/>
  </r>
  <r>
    <x v="14"/>
    <s v="B016"/>
    <x v="0"/>
    <x v="0"/>
    <n v="3"/>
    <n v="6"/>
    <x v="2"/>
    <n v="18"/>
    <x v="0"/>
    <x v="3"/>
    <s v="Low"/>
  </r>
  <r>
    <x v="3"/>
    <s v="B017"/>
    <x v="1"/>
    <x v="1"/>
    <n v="10"/>
    <n v="30"/>
    <x v="0"/>
    <n v="300"/>
    <x v="1"/>
    <x v="1"/>
    <s v="Medium"/>
  </r>
  <r>
    <x v="15"/>
    <s v="B018"/>
    <x v="7"/>
    <x v="5"/>
    <n v="9"/>
    <n v="120"/>
    <x v="1"/>
    <n v="1080"/>
    <x v="0"/>
    <x v="6"/>
    <s v="High"/>
  </r>
  <r>
    <x v="16"/>
    <s v="B019"/>
    <x v="4"/>
    <x v="3"/>
    <n v="7"/>
    <n v="55"/>
    <x v="0"/>
    <n v="385"/>
    <x v="1"/>
    <x v="0"/>
    <s v="Medium"/>
  </r>
  <r>
    <x v="1"/>
    <s v="B020"/>
    <x v="9"/>
    <x v="3"/>
    <n v="10"/>
    <n v="45"/>
    <x v="1"/>
    <n v="450"/>
    <x v="0"/>
    <x v="1"/>
    <s v="Medium"/>
  </r>
  <r>
    <x v="17"/>
    <s v="B021"/>
    <x v="6"/>
    <x v="4"/>
    <n v="3"/>
    <n v="40"/>
    <x v="2"/>
    <n v="120"/>
    <x v="1"/>
    <x v="4"/>
    <s v="Medium"/>
  </r>
  <r>
    <x v="18"/>
    <s v="B022"/>
    <x v="9"/>
    <x v="3"/>
    <n v="8"/>
    <n v="45"/>
    <x v="2"/>
    <n v="360"/>
    <x v="3"/>
    <x v="5"/>
    <s v="Medium"/>
  </r>
  <r>
    <x v="19"/>
    <s v="B023"/>
    <x v="10"/>
    <x v="6"/>
    <n v="5"/>
    <n v="90"/>
    <x v="2"/>
    <n v="450"/>
    <x v="0"/>
    <x v="1"/>
    <s v="Medium"/>
  </r>
  <r>
    <x v="15"/>
    <s v="B024"/>
    <x v="2"/>
    <x v="0"/>
    <n v="7"/>
    <n v="260"/>
    <x v="2"/>
    <n v="1820"/>
    <x v="0"/>
    <x v="6"/>
    <s v="High"/>
  </r>
  <r>
    <x v="20"/>
    <s v="B025"/>
    <x v="4"/>
    <x v="3"/>
    <n v="10"/>
    <n v="55"/>
    <x v="2"/>
    <n v="550"/>
    <x v="1"/>
    <x v="3"/>
    <s v="High"/>
  </r>
  <r>
    <x v="21"/>
    <s v="B026"/>
    <x v="11"/>
    <x v="7"/>
    <n v="9"/>
    <n v="70"/>
    <x v="2"/>
    <n v="630"/>
    <x v="1"/>
    <x v="6"/>
    <s v="High"/>
  </r>
  <r>
    <x v="22"/>
    <s v="B027"/>
    <x v="12"/>
    <x v="1"/>
    <n v="4"/>
    <n v="35"/>
    <x v="1"/>
    <n v="140"/>
    <x v="3"/>
    <x v="4"/>
    <s v="Medium"/>
  </r>
  <r>
    <x v="23"/>
    <s v="B028"/>
    <x v="2"/>
    <x v="0"/>
    <n v="8"/>
    <n v="260"/>
    <x v="0"/>
    <n v="2080"/>
    <x v="3"/>
    <x v="4"/>
    <s v="High"/>
  </r>
  <r>
    <x v="24"/>
    <s v="B029"/>
    <x v="10"/>
    <x v="6"/>
    <n v="2"/>
    <n v="90"/>
    <x v="0"/>
    <n v="180"/>
    <x v="1"/>
    <x v="0"/>
    <s v="Medium"/>
  </r>
  <r>
    <x v="25"/>
    <s v="B030"/>
    <x v="3"/>
    <x v="2"/>
    <n v="10"/>
    <n v="60"/>
    <x v="0"/>
    <n v="600"/>
    <x v="3"/>
    <x v="5"/>
    <s v="High"/>
  </r>
  <r>
    <x v="3"/>
    <s v="B031"/>
    <x v="6"/>
    <x v="4"/>
    <n v="5"/>
    <n v="40"/>
    <x v="2"/>
    <n v="200"/>
    <x v="1"/>
    <x v="1"/>
    <s v="Medium"/>
  </r>
  <r>
    <x v="26"/>
    <s v="B032"/>
    <x v="13"/>
    <x v="7"/>
    <n v="2"/>
    <n v="150"/>
    <x v="1"/>
    <n v="300"/>
    <x v="3"/>
    <x v="0"/>
    <s v="Medium"/>
  </r>
  <r>
    <x v="18"/>
    <s v="B033"/>
    <x v="14"/>
    <x v="6"/>
    <n v="8"/>
    <n v="20"/>
    <x v="2"/>
    <n v="160"/>
    <x v="3"/>
    <x v="5"/>
    <s v="Medium"/>
  </r>
  <r>
    <x v="20"/>
    <s v="B034"/>
    <x v="10"/>
    <x v="6"/>
    <n v="9"/>
    <n v="90"/>
    <x v="2"/>
    <n v="810"/>
    <x v="1"/>
    <x v="3"/>
    <s v="High"/>
  </r>
  <r>
    <x v="27"/>
    <s v="B035"/>
    <x v="2"/>
    <x v="0"/>
    <n v="10"/>
    <n v="260"/>
    <x v="0"/>
    <n v="2600"/>
    <x v="3"/>
    <x v="0"/>
    <s v="High"/>
  </r>
  <r>
    <x v="5"/>
    <s v="B036"/>
    <x v="4"/>
    <x v="3"/>
    <n v="10"/>
    <n v="55"/>
    <x v="0"/>
    <n v="550"/>
    <x v="3"/>
    <x v="4"/>
    <s v="High"/>
  </r>
  <r>
    <x v="28"/>
    <s v="B037"/>
    <x v="5"/>
    <x v="0"/>
    <n v="1"/>
    <n v="300"/>
    <x v="2"/>
    <n v="300"/>
    <x v="3"/>
    <x v="3"/>
    <s v="Medium"/>
  </r>
  <r>
    <x v="29"/>
    <s v="B038"/>
    <x v="13"/>
    <x v="7"/>
    <n v="1"/>
    <n v="150"/>
    <x v="2"/>
    <n v="150"/>
    <x v="0"/>
    <x v="5"/>
    <s v="Medium"/>
  </r>
  <r>
    <x v="30"/>
    <s v="B039"/>
    <x v="12"/>
    <x v="1"/>
    <n v="2"/>
    <n v="35"/>
    <x v="0"/>
    <n v="70"/>
    <x v="0"/>
    <x v="6"/>
    <s v="Low"/>
  </r>
  <r>
    <x v="31"/>
    <s v="B040"/>
    <x v="2"/>
    <x v="0"/>
    <n v="8"/>
    <n v="260"/>
    <x v="2"/>
    <n v="2080"/>
    <x v="3"/>
    <x v="0"/>
    <s v="High"/>
  </r>
  <r>
    <x v="10"/>
    <s v="B041"/>
    <x v="15"/>
    <x v="7"/>
    <n v="10"/>
    <n v="200"/>
    <x v="2"/>
    <n v="2000"/>
    <x v="0"/>
    <x v="5"/>
    <s v="High"/>
  </r>
  <r>
    <x v="32"/>
    <s v="B042"/>
    <x v="11"/>
    <x v="7"/>
    <n v="1"/>
    <n v="70"/>
    <x v="1"/>
    <n v="70"/>
    <x v="1"/>
    <x v="3"/>
    <s v="Low"/>
  </r>
  <r>
    <x v="33"/>
    <s v="B043"/>
    <x v="11"/>
    <x v="7"/>
    <n v="10"/>
    <n v="70"/>
    <x v="2"/>
    <n v="700"/>
    <x v="1"/>
    <x v="2"/>
    <s v="High"/>
  </r>
  <r>
    <x v="3"/>
    <s v="B044"/>
    <x v="15"/>
    <x v="7"/>
    <n v="2"/>
    <n v="200"/>
    <x v="0"/>
    <n v="400"/>
    <x v="1"/>
    <x v="1"/>
    <s v="Medium"/>
  </r>
  <r>
    <x v="17"/>
    <s v="B045"/>
    <x v="6"/>
    <x v="4"/>
    <n v="1"/>
    <n v="40"/>
    <x v="0"/>
    <n v="40"/>
    <x v="1"/>
    <x v="4"/>
    <s v="Low"/>
  </r>
  <r>
    <x v="7"/>
    <s v="B046"/>
    <x v="14"/>
    <x v="6"/>
    <n v="5"/>
    <n v="20"/>
    <x v="2"/>
    <n v="100"/>
    <x v="0"/>
    <x v="4"/>
    <s v="Low"/>
  </r>
  <r>
    <x v="5"/>
    <s v="B047"/>
    <x v="14"/>
    <x v="6"/>
    <n v="5"/>
    <n v="20"/>
    <x v="0"/>
    <n v="100"/>
    <x v="3"/>
    <x v="4"/>
    <s v="Low"/>
  </r>
  <r>
    <x v="33"/>
    <s v="B048"/>
    <x v="0"/>
    <x v="0"/>
    <n v="6"/>
    <n v="6"/>
    <x v="0"/>
    <n v="36"/>
    <x v="1"/>
    <x v="2"/>
    <s v="Low"/>
  </r>
  <r>
    <x v="12"/>
    <s v="B049"/>
    <x v="0"/>
    <x v="0"/>
    <n v="5"/>
    <n v="6"/>
    <x v="0"/>
    <n v="30"/>
    <x v="1"/>
    <x v="0"/>
    <s v="Low"/>
  </r>
  <r>
    <x v="14"/>
    <s v="B050"/>
    <x v="15"/>
    <x v="7"/>
    <n v="9"/>
    <n v="200"/>
    <x v="1"/>
    <n v="1800"/>
    <x v="0"/>
    <x v="3"/>
    <s v="High"/>
  </r>
  <r>
    <x v="34"/>
    <s v="B051"/>
    <x v="3"/>
    <x v="2"/>
    <n v="1"/>
    <n v="60"/>
    <x v="0"/>
    <n v="60"/>
    <x v="0"/>
    <x v="1"/>
    <s v="Low"/>
  </r>
  <r>
    <x v="35"/>
    <s v="B052"/>
    <x v="16"/>
    <x v="6"/>
    <n v="6"/>
    <n v="25"/>
    <x v="2"/>
    <n v="150"/>
    <x v="1"/>
    <x v="0"/>
    <s v="Medium"/>
  </r>
  <r>
    <x v="11"/>
    <s v="B053"/>
    <x v="15"/>
    <x v="7"/>
    <n v="9"/>
    <n v="200"/>
    <x v="0"/>
    <n v="1800"/>
    <x v="1"/>
    <x v="4"/>
    <s v="High"/>
  </r>
  <r>
    <x v="36"/>
    <s v="B054"/>
    <x v="7"/>
    <x v="5"/>
    <n v="10"/>
    <n v="120"/>
    <x v="2"/>
    <n v="1200"/>
    <x v="0"/>
    <x v="3"/>
    <s v="High"/>
  </r>
  <r>
    <x v="16"/>
    <s v="B055"/>
    <x v="17"/>
    <x v="5"/>
    <n v="6"/>
    <n v="30"/>
    <x v="1"/>
    <n v="180"/>
    <x v="1"/>
    <x v="0"/>
    <s v="Medium"/>
  </r>
  <r>
    <x v="37"/>
    <s v="B056"/>
    <x v="16"/>
    <x v="6"/>
    <n v="6"/>
    <n v="25"/>
    <x v="2"/>
    <n v="150"/>
    <x v="1"/>
    <x v="0"/>
    <s v="Medium"/>
  </r>
  <r>
    <x v="33"/>
    <s v="B057"/>
    <x v="15"/>
    <x v="7"/>
    <n v="4"/>
    <n v="200"/>
    <x v="0"/>
    <n v="800"/>
    <x v="1"/>
    <x v="2"/>
    <s v="High"/>
  </r>
  <r>
    <x v="3"/>
    <s v="B058"/>
    <x v="9"/>
    <x v="3"/>
    <n v="8"/>
    <n v="45"/>
    <x v="1"/>
    <n v="360"/>
    <x v="1"/>
    <x v="1"/>
    <s v="Medium"/>
  </r>
  <r>
    <x v="38"/>
    <s v="B059"/>
    <x v="9"/>
    <x v="3"/>
    <n v="1"/>
    <n v="45"/>
    <x v="2"/>
    <n v="45"/>
    <x v="0"/>
    <x v="0"/>
    <s v="Low"/>
  </r>
  <r>
    <x v="39"/>
    <s v="B060"/>
    <x v="10"/>
    <x v="6"/>
    <n v="8"/>
    <n v="90"/>
    <x v="1"/>
    <n v="720"/>
    <x v="0"/>
    <x v="0"/>
    <s v="High"/>
  </r>
  <r>
    <x v="40"/>
    <s v="B061"/>
    <x v="14"/>
    <x v="6"/>
    <n v="10"/>
    <n v="20"/>
    <x v="1"/>
    <n v="200"/>
    <x v="0"/>
    <x v="4"/>
    <s v="Medium"/>
  </r>
  <r>
    <x v="3"/>
    <s v="B062"/>
    <x v="6"/>
    <x v="4"/>
    <n v="1"/>
    <n v="40"/>
    <x v="2"/>
    <n v="40"/>
    <x v="1"/>
    <x v="1"/>
    <s v="Low"/>
  </r>
  <r>
    <x v="33"/>
    <s v="B063"/>
    <x v="3"/>
    <x v="2"/>
    <n v="6"/>
    <n v="60"/>
    <x v="1"/>
    <n v="360"/>
    <x v="1"/>
    <x v="2"/>
    <s v="Medium"/>
  </r>
  <r>
    <x v="41"/>
    <s v="B064"/>
    <x v="2"/>
    <x v="0"/>
    <n v="4"/>
    <n v="260"/>
    <x v="0"/>
    <n v="1040"/>
    <x v="0"/>
    <x v="3"/>
    <s v="High"/>
  </r>
  <r>
    <x v="2"/>
    <s v="B065"/>
    <x v="6"/>
    <x v="4"/>
    <n v="5"/>
    <n v="40"/>
    <x v="1"/>
    <n v="200"/>
    <x v="0"/>
    <x v="2"/>
    <s v="Medium"/>
  </r>
  <r>
    <x v="42"/>
    <s v="B066"/>
    <x v="7"/>
    <x v="5"/>
    <n v="10"/>
    <n v="120"/>
    <x v="0"/>
    <n v="1200"/>
    <x v="0"/>
    <x v="3"/>
    <s v="High"/>
  </r>
  <r>
    <x v="40"/>
    <s v="B067"/>
    <x v="16"/>
    <x v="6"/>
    <n v="4"/>
    <n v="25"/>
    <x v="2"/>
    <n v="100"/>
    <x v="0"/>
    <x v="4"/>
    <s v="Low"/>
  </r>
  <r>
    <x v="20"/>
    <s v="B068"/>
    <x v="8"/>
    <x v="2"/>
    <n v="7"/>
    <n v="80"/>
    <x v="1"/>
    <n v="560"/>
    <x v="1"/>
    <x v="3"/>
    <s v="High"/>
  </r>
  <r>
    <x v="43"/>
    <s v="B069"/>
    <x v="11"/>
    <x v="7"/>
    <n v="1"/>
    <n v="70"/>
    <x v="1"/>
    <n v="70"/>
    <x v="0"/>
    <x v="6"/>
    <s v="Low"/>
  </r>
  <r>
    <x v="28"/>
    <s v="B070"/>
    <x v="12"/>
    <x v="1"/>
    <n v="6"/>
    <n v="35"/>
    <x v="0"/>
    <n v="210"/>
    <x v="3"/>
    <x v="3"/>
    <s v="Medium"/>
  </r>
  <r>
    <x v="44"/>
    <s v="B071"/>
    <x v="18"/>
    <x v="7"/>
    <n v="10"/>
    <n v="50"/>
    <x v="0"/>
    <n v="500"/>
    <x v="1"/>
    <x v="4"/>
    <s v="Medium"/>
  </r>
  <r>
    <x v="9"/>
    <s v="B072"/>
    <x v="8"/>
    <x v="2"/>
    <n v="8"/>
    <n v="80"/>
    <x v="1"/>
    <n v="640"/>
    <x v="0"/>
    <x v="1"/>
    <s v="High"/>
  </r>
  <r>
    <x v="45"/>
    <s v="B073"/>
    <x v="3"/>
    <x v="2"/>
    <n v="3"/>
    <n v="60"/>
    <x v="2"/>
    <n v="180"/>
    <x v="0"/>
    <x v="2"/>
    <s v="Medium"/>
  </r>
  <r>
    <x v="22"/>
    <s v="B074"/>
    <x v="9"/>
    <x v="3"/>
    <n v="10"/>
    <n v="45"/>
    <x v="2"/>
    <n v="450"/>
    <x v="3"/>
    <x v="4"/>
    <s v="Medium"/>
  </r>
  <r>
    <x v="19"/>
    <s v="B075"/>
    <x v="18"/>
    <x v="7"/>
    <n v="3"/>
    <n v="50"/>
    <x v="2"/>
    <n v="150"/>
    <x v="0"/>
    <x v="1"/>
    <s v="Medium"/>
  </r>
  <r>
    <x v="46"/>
    <s v="B076"/>
    <x v="11"/>
    <x v="7"/>
    <n v="9"/>
    <n v="70"/>
    <x v="0"/>
    <n v="630"/>
    <x v="1"/>
    <x v="1"/>
    <s v="High"/>
  </r>
  <r>
    <x v="10"/>
    <s v="B077"/>
    <x v="6"/>
    <x v="4"/>
    <n v="3"/>
    <n v="40"/>
    <x v="1"/>
    <n v="120"/>
    <x v="0"/>
    <x v="5"/>
    <s v="Medium"/>
  </r>
  <r>
    <x v="0"/>
    <s v="B078"/>
    <x v="19"/>
    <x v="3"/>
    <n v="7"/>
    <n v="60"/>
    <x v="0"/>
    <n v="420"/>
    <x v="0"/>
    <x v="0"/>
    <s v="Medium"/>
  </r>
  <r>
    <x v="32"/>
    <s v="B079"/>
    <x v="13"/>
    <x v="7"/>
    <n v="7"/>
    <n v="150"/>
    <x v="1"/>
    <n v="1050"/>
    <x v="1"/>
    <x v="3"/>
    <s v="High"/>
  </r>
  <r>
    <x v="31"/>
    <s v="B080"/>
    <x v="0"/>
    <x v="0"/>
    <n v="2"/>
    <n v="6"/>
    <x v="2"/>
    <n v="12"/>
    <x v="3"/>
    <x v="0"/>
    <s v="Low"/>
  </r>
  <r>
    <x v="22"/>
    <s v="B081"/>
    <x v="2"/>
    <x v="0"/>
    <n v="10"/>
    <n v="260"/>
    <x v="0"/>
    <n v="2600"/>
    <x v="3"/>
    <x v="4"/>
    <s v="High"/>
  </r>
  <r>
    <x v="47"/>
    <s v="B082"/>
    <x v="2"/>
    <x v="0"/>
    <n v="2"/>
    <n v="260"/>
    <x v="1"/>
    <n v="520"/>
    <x v="3"/>
    <x v="5"/>
    <s v="High"/>
  </r>
  <r>
    <x v="3"/>
    <s v="B083"/>
    <x v="1"/>
    <x v="1"/>
    <n v="4"/>
    <n v="30"/>
    <x v="2"/>
    <n v="120"/>
    <x v="1"/>
    <x v="1"/>
    <s v="Medium"/>
  </r>
  <r>
    <x v="8"/>
    <s v="B084"/>
    <x v="19"/>
    <x v="3"/>
    <n v="2"/>
    <n v="60"/>
    <x v="2"/>
    <n v="120"/>
    <x v="1"/>
    <x v="4"/>
    <s v="Medium"/>
  </r>
  <r>
    <x v="48"/>
    <s v="B085"/>
    <x v="5"/>
    <x v="0"/>
    <n v="2"/>
    <n v="300"/>
    <x v="2"/>
    <n v="600"/>
    <x v="3"/>
    <x v="4"/>
    <s v="High"/>
  </r>
  <r>
    <x v="14"/>
    <s v="B086"/>
    <x v="1"/>
    <x v="1"/>
    <n v="4"/>
    <n v="30"/>
    <x v="2"/>
    <n v="120"/>
    <x v="0"/>
    <x v="3"/>
    <s v="Medium"/>
  </r>
  <r>
    <x v="49"/>
    <s v="B087"/>
    <x v="7"/>
    <x v="5"/>
    <n v="1"/>
    <n v="120"/>
    <x v="1"/>
    <n v="120"/>
    <x v="1"/>
    <x v="5"/>
    <s v="Medium"/>
  </r>
  <r>
    <x v="4"/>
    <s v="B088"/>
    <x v="13"/>
    <x v="7"/>
    <n v="6"/>
    <n v="150"/>
    <x v="2"/>
    <n v="900"/>
    <x v="2"/>
    <x v="3"/>
    <s v="High"/>
  </r>
  <r>
    <x v="50"/>
    <s v="B089"/>
    <x v="12"/>
    <x v="1"/>
    <n v="6"/>
    <n v="35"/>
    <x v="0"/>
    <n v="210"/>
    <x v="3"/>
    <x v="2"/>
    <s v="Medium"/>
  </r>
  <r>
    <x v="50"/>
    <s v="B090"/>
    <x v="15"/>
    <x v="7"/>
    <n v="8"/>
    <n v="200"/>
    <x v="0"/>
    <n v="1600"/>
    <x v="3"/>
    <x v="2"/>
    <s v="High"/>
  </r>
  <r>
    <x v="51"/>
    <s v="B091"/>
    <x v="8"/>
    <x v="2"/>
    <n v="8"/>
    <n v="80"/>
    <x v="0"/>
    <n v="640"/>
    <x v="3"/>
    <x v="1"/>
    <s v="High"/>
  </r>
  <r>
    <x v="52"/>
    <s v="B092"/>
    <x v="5"/>
    <x v="0"/>
    <n v="10"/>
    <n v="300"/>
    <x v="2"/>
    <n v="3000"/>
    <x v="3"/>
    <x v="1"/>
    <s v="High"/>
  </r>
  <r>
    <x v="7"/>
    <s v="B093"/>
    <x v="8"/>
    <x v="2"/>
    <n v="1"/>
    <n v="80"/>
    <x v="0"/>
    <n v="80"/>
    <x v="0"/>
    <x v="4"/>
    <s v="Low"/>
  </r>
  <r>
    <x v="38"/>
    <s v="B094"/>
    <x v="5"/>
    <x v="0"/>
    <n v="2"/>
    <n v="300"/>
    <x v="0"/>
    <n v="600"/>
    <x v="0"/>
    <x v="0"/>
    <s v="High"/>
  </r>
  <r>
    <x v="33"/>
    <s v="B095"/>
    <x v="1"/>
    <x v="1"/>
    <n v="7"/>
    <n v="30"/>
    <x v="1"/>
    <n v="210"/>
    <x v="1"/>
    <x v="2"/>
    <s v="Medium"/>
  </r>
  <r>
    <x v="18"/>
    <s v="B096"/>
    <x v="8"/>
    <x v="2"/>
    <n v="2"/>
    <n v="80"/>
    <x v="1"/>
    <n v="160"/>
    <x v="3"/>
    <x v="5"/>
    <s v="Medium"/>
  </r>
  <r>
    <x v="53"/>
    <s v="B097"/>
    <x v="4"/>
    <x v="3"/>
    <n v="2"/>
    <n v="55"/>
    <x v="0"/>
    <n v="110"/>
    <x v="0"/>
    <x v="2"/>
    <s v="Medium"/>
  </r>
  <r>
    <x v="44"/>
    <s v="B098"/>
    <x v="9"/>
    <x v="3"/>
    <n v="3"/>
    <n v="45"/>
    <x v="2"/>
    <n v="135"/>
    <x v="1"/>
    <x v="4"/>
    <s v="Medium"/>
  </r>
  <r>
    <x v="54"/>
    <s v="B099"/>
    <x v="19"/>
    <x v="3"/>
    <n v="4"/>
    <n v="60"/>
    <x v="2"/>
    <n v="240"/>
    <x v="3"/>
    <x v="0"/>
    <s v="Medium"/>
  </r>
  <r>
    <x v="55"/>
    <s v="B100"/>
    <x v="15"/>
    <x v="7"/>
    <n v="10"/>
    <n v="200"/>
    <x v="2"/>
    <n v="2000"/>
    <x v="0"/>
    <x v="4"/>
    <s v="High"/>
  </r>
  <r>
    <x v="56"/>
    <s v="B101"/>
    <x v="10"/>
    <x v="6"/>
    <n v="8"/>
    <n v="90"/>
    <x v="0"/>
    <n v="720"/>
    <x v="0"/>
    <x v="5"/>
    <s v="High"/>
  </r>
  <r>
    <x v="57"/>
    <s v="B102"/>
    <x v="18"/>
    <x v="7"/>
    <n v="9"/>
    <n v="50"/>
    <x v="1"/>
    <n v="450"/>
    <x v="0"/>
    <x v="1"/>
    <s v="Medium"/>
  </r>
  <r>
    <x v="58"/>
    <s v="B103"/>
    <x v="19"/>
    <x v="3"/>
    <n v="2"/>
    <n v="60"/>
    <x v="2"/>
    <n v="120"/>
    <x v="1"/>
    <x v="5"/>
    <s v="Medium"/>
  </r>
  <r>
    <x v="15"/>
    <s v="B104"/>
    <x v="14"/>
    <x v="6"/>
    <n v="1"/>
    <n v="20"/>
    <x v="1"/>
    <n v="20"/>
    <x v="0"/>
    <x v="6"/>
    <s v="Low"/>
  </r>
  <r>
    <x v="0"/>
    <s v="B105"/>
    <x v="18"/>
    <x v="7"/>
    <n v="8"/>
    <n v="50"/>
    <x v="0"/>
    <n v="400"/>
    <x v="0"/>
    <x v="0"/>
    <s v="Medium"/>
  </r>
  <r>
    <x v="54"/>
    <s v="B106"/>
    <x v="2"/>
    <x v="0"/>
    <n v="6"/>
    <n v="260"/>
    <x v="0"/>
    <n v="1560"/>
    <x v="3"/>
    <x v="0"/>
    <s v="High"/>
  </r>
  <r>
    <x v="43"/>
    <s v="B107"/>
    <x v="4"/>
    <x v="3"/>
    <n v="4"/>
    <n v="55"/>
    <x v="0"/>
    <n v="220"/>
    <x v="0"/>
    <x v="6"/>
    <s v="Medium"/>
  </r>
  <r>
    <x v="46"/>
    <s v="B108"/>
    <x v="14"/>
    <x v="6"/>
    <n v="4"/>
    <n v="20"/>
    <x v="2"/>
    <n v="80"/>
    <x v="1"/>
    <x v="1"/>
    <s v="Low"/>
  </r>
  <r>
    <x v="59"/>
    <s v="B109"/>
    <x v="4"/>
    <x v="3"/>
    <n v="7"/>
    <n v="55"/>
    <x v="1"/>
    <n v="385"/>
    <x v="0"/>
    <x v="5"/>
    <s v="Medium"/>
  </r>
  <r>
    <x v="60"/>
    <s v="B110"/>
    <x v="8"/>
    <x v="2"/>
    <n v="6"/>
    <n v="80"/>
    <x v="2"/>
    <n v="480"/>
    <x v="3"/>
    <x v="1"/>
    <s v="Medium"/>
  </r>
  <r>
    <x v="5"/>
    <s v="B111"/>
    <x v="15"/>
    <x v="7"/>
    <n v="2"/>
    <n v="200"/>
    <x v="2"/>
    <n v="400"/>
    <x v="3"/>
    <x v="4"/>
    <s v="Medium"/>
  </r>
  <r>
    <x v="24"/>
    <s v="B112"/>
    <x v="15"/>
    <x v="7"/>
    <n v="3"/>
    <n v="200"/>
    <x v="0"/>
    <n v="600"/>
    <x v="1"/>
    <x v="0"/>
    <s v="High"/>
  </r>
  <r>
    <x v="27"/>
    <s v="B113"/>
    <x v="7"/>
    <x v="5"/>
    <n v="7"/>
    <n v="120"/>
    <x v="1"/>
    <n v="840"/>
    <x v="3"/>
    <x v="0"/>
    <s v="High"/>
  </r>
  <r>
    <x v="61"/>
    <s v="B114"/>
    <x v="18"/>
    <x v="7"/>
    <n v="5"/>
    <n v="50"/>
    <x v="0"/>
    <n v="250"/>
    <x v="3"/>
    <x v="6"/>
    <s v="Medium"/>
  </r>
  <r>
    <x v="62"/>
    <s v="B115"/>
    <x v="7"/>
    <x v="5"/>
    <n v="3"/>
    <n v="120"/>
    <x v="2"/>
    <n v="360"/>
    <x v="1"/>
    <x v="2"/>
    <s v="Medium"/>
  </r>
  <r>
    <x v="30"/>
    <s v="B116"/>
    <x v="7"/>
    <x v="5"/>
    <n v="3"/>
    <n v="120"/>
    <x v="0"/>
    <n v="360"/>
    <x v="0"/>
    <x v="6"/>
    <s v="Medium"/>
  </r>
  <r>
    <x v="14"/>
    <s v="B117"/>
    <x v="19"/>
    <x v="3"/>
    <n v="2"/>
    <n v="60"/>
    <x v="2"/>
    <n v="120"/>
    <x v="0"/>
    <x v="3"/>
    <s v="Medium"/>
  </r>
  <r>
    <x v="63"/>
    <s v="B118"/>
    <x v="13"/>
    <x v="7"/>
    <n v="1"/>
    <n v="150"/>
    <x v="2"/>
    <n v="150"/>
    <x v="1"/>
    <x v="4"/>
    <s v="Medium"/>
  </r>
  <r>
    <x v="62"/>
    <s v="B119"/>
    <x v="19"/>
    <x v="3"/>
    <n v="7"/>
    <n v="60"/>
    <x v="0"/>
    <n v="420"/>
    <x v="1"/>
    <x v="2"/>
    <s v="Medium"/>
  </r>
  <r>
    <x v="64"/>
    <s v="B120"/>
    <x v="1"/>
    <x v="1"/>
    <n v="7"/>
    <n v="30"/>
    <x v="2"/>
    <n v="210"/>
    <x v="1"/>
    <x v="5"/>
    <s v="Medium"/>
  </r>
  <r>
    <x v="16"/>
    <s v="B121"/>
    <x v="5"/>
    <x v="0"/>
    <n v="6"/>
    <n v="300"/>
    <x v="0"/>
    <n v="1800"/>
    <x v="1"/>
    <x v="0"/>
    <s v="High"/>
  </r>
  <r>
    <x v="41"/>
    <s v="B122"/>
    <x v="1"/>
    <x v="1"/>
    <n v="5"/>
    <n v="30"/>
    <x v="1"/>
    <n v="150"/>
    <x v="0"/>
    <x v="3"/>
    <s v="Medium"/>
  </r>
  <r>
    <x v="51"/>
    <s v="B123"/>
    <x v="19"/>
    <x v="3"/>
    <n v="8"/>
    <n v="60"/>
    <x v="0"/>
    <n v="480"/>
    <x v="3"/>
    <x v="1"/>
    <s v="Medium"/>
  </r>
  <r>
    <x v="65"/>
    <s v="B124"/>
    <x v="16"/>
    <x v="6"/>
    <n v="8"/>
    <n v="25"/>
    <x v="2"/>
    <n v="200"/>
    <x v="3"/>
    <x v="3"/>
    <s v="Medium"/>
  </r>
  <r>
    <x v="38"/>
    <s v="B125"/>
    <x v="9"/>
    <x v="3"/>
    <n v="7"/>
    <n v="45"/>
    <x v="2"/>
    <n v="315"/>
    <x v="0"/>
    <x v="0"/>
    <s v="Medium"/>
  </r>
  <r>
    <x v="66"/>
    <s v="B126"/>
    <x v="16"/>
    <x v="6"/>
    <n v="10"/>
    <n v="25"/>
    <x v="2"/>
    <n v="250"/>
    <x v="3"/>
    <x v="2"/>
    <s v="Medium"/>
  </r>
  <r>
    <x v="5"/>
    <s v="B127"/>
    <x v="19"/>
    <x v="3"/>
    <n v="10"/>
    <n v="60"/>
    <x v="1"/>
    <n v="600"/>
    <x v="3"/>
    <x v="4"/>
    <s v="High"/>
  </r>
  <r>
    <x v="42"/>
    <s v="B128"/>
    <x v="4"/>
    <x v="3"/>
    <n v="2"/>
    <n v="55"/>
    <x v="1"/>
    <n v="110"/>
    <x v="0"/>
    <x v="3"/>
    <s v="Medium"/>
  </r>
  <r>
    <x v="8"/>
    <s v="B129"/>
    <x v="12"/>
    <x v="1"/>
    <n v="1"/>
    <n v="35"/>
    <x v="1"/>
    <n v="35"/>
    <x v="1"/>
    <x v="4"/>
    <s v="Low"/>
  </r>
  <r>
    <x v="34"/>
    <s v="B130"/>
    <x v="0"/>
    <x v="0"/>
    <n v="5"/>
    <n v="6"/>
    <x v="2"/>
    <n v="30"/>
    <x v="0"/>
    <x v="1"/>
    <s v="Low"/>
  </r>
  <r>
    <x v="66"/>
    <s v="B131"/>
    <x v="0"/>
    <x v="0"/>
    <n v="5"/>
    <n v="6"/>
    <x v="0"/>
    <n v="30"/>
    <x v="3"/>
    <x v="2"/>
    <s v="Low"/>
  </r>
  <r>
    <x v="16"/>
    <s v="B132"/>
    <x v="9"/>
    <x v="3"/>
    <n v="8"/>
    <n v="45"/>
    <x v="2"/>
    <n v="360"/>
    <x v="1"/>
    <x v="0"/>
    <s v="Medium"/>
  </r>
  <r>
    <x v="25"/>
    <s v="B133"/>
    <x v="12"/>
    <x v="1"/>
    <n v="10"/>
    <n v="35"/>
    <x v="0"/>
    <n v="350"/>
    <x v="3"/>
    <x v="5"/>
    <s v="Medium"/>
  </r>
  <r>
    <x v="10"/>
    <s v="B134"/>
    <x v="17"/>
    <x v="5"/>
    <n v="4"/>
    <n v="30"/>
    <x v="1"/>
    <n v="120"/>
    <x v="0"/>
    <x v="5"/>
    <s v="Medium"/>
  </r>
  <r>
    <x v="24"/>
    <s v="B135"/>
    <x v="12"/>
    <x v="1"/>
    <n v="6"/>
    <n v="35"/>
    <x v="1"/>
    <n v="210"/>
    <x v="1"/>
    <x v="0"/>
    <s v="Medium"/>
  </r>
  <r>
    <x v="38"/>
    <s v="B136"/>
    <x v="2"/>
    <x v="0"/>
    <n v="7"/>
    <n v="260"/>
    <x v="2"/>
    <n v="1820"/>
    <x v="0"/>
    <x v="0"/>
    <s v="High"/>
  </r>
  <r>
    <x v="67"/>
    <s v="B137"/>
    <x v="2"/>
    <x v="0"/>
    <n v="8"/>
    <n v="260"/>
    <x v="0"/>
    <n v="2080"/>
    <x v="1"/>
    <x v="3"/>
    <s v="High"/>
  </r>
  <r>
    <x v="61"/>
    <s v="B138"/>
    <x v="19"/>
    <x v="3"/>
    <n v="6"/>
    <n v="60"/>
    <x v="2"/>
    <n v="360"/>
    <x v="3"/>
    <x v="6"/>
    <s v="Medium"/>
  </r>
  <r>
    <x v="43"/>
    <s v="B139"/>
    <x v="1"/>
    <x v="1"/>
    <n v="10"/>
    <n v="30"/>
    <x v="0"/>
    <n v="300"/>
    <x v="0"/>
    <x v="6"/>
    <s v="Medium"/>
  </r>
  <r>
    <x v="60"/>
    <s v="B140"/>
    <x v="12"/>
    <x v="1"/>
    <n v="7"/>
    <n v="35"/>
    <x v="1"/>
    <n v="245"/>
    <x v="3"/>
    <x v="1"/>
    <s v="Medium"/>
  </r>
  <r>
    <x v="26"/>
    <s v="B141"/>
    <x v="1"/>
    <x v="1"/>
    <n v="9"/>
    <n v="30"/>
    <x v="0"/>
    <n v="270"/>
    <x v="3"/>
    <x v="0"/>
    <s v="Medium"/>
  </r>
  <r>
    <x v="68"/>
    <s v="B142"/>
    <x v="1"/>
    <x v="1"/>
    <n v="3"/>
    <n v="30"/>
    <x v="0"/>
    <n v="90"/>
    <x v="1"/>
    <x v="2"/>
    <s v="Low"/>
  </r>
  <r>
    <x v="13"/>
    <s v="B143"/>
    <x v="16"/>
    <x v="6"/>
    <n v="3"/>
    <n v="25"/>
    <x v="0"/>
    <n v="75"/>
    <x v="3"/>
    <x v="3"/>
    <s v="Low"/>
  </r>
  <r>
    <x v="69"/>
    <s v="B144"/>
    <x v="3"/>
    <x v="2"/>
    <n v="10"/>
    <n v="60"/>
    <x v="1"/>
    <n v="600"/>
    <x v="3"/>
    <x v="1"/>
    <s v="High"/>
  </r>
  <r>
    <x v="27"/>
    <s v="B145"/>
    <x v="15"/>
    <x v="7"/>
    <n v="4"/>
    <n v="200"/>
    <x v="1"/>
    <n v="800"/>
    <x v="3"/>
    <x v="0"/>
    <s v="High"/>
  </r>
  <r>
    <x v="70"/>
    <s v="B146"/>
    <x v="15"/>
    <x v="7"/>
    <n v="5"/>
    <n v="200"/>
    <x v="1"/>
    <n v="1000"/>
    <x v="1"/>
    <x v="5"/>
    <s v="High"/>
  </r>
  <r>
    <x v="69"/>
    <s v="B147"/>
    <x v="11"/>
    <x v="7"/>
    <n v="9"/>
    <n v="70"/>
    <x v="1"/>
    <n v="630"/>
    <x v="3"/>
    <x v="1"/>
    <s v="High"/>
  </r>
  <r>
    <x v="71"/>
    <s v="B148"/>
    <x v="16"/>
    <x v="6"/>
    <n v="2"/>
    <n v="25"/>
    <x v="1"/>
    <n v="50"/>
    <x v="1"/>
    <x v="3"/>
    <s v="Low"/>
  </r>
  <r>
    <x v="40"/>
    <s v="B149"/>
    <x v="16"/>
    <x v="6"/>
    <n v="7"/>
    <n v="25"/>
    <x v="1"/>
    <n v="175"/>
    <x v="0"/>
    <x v="4"/>
    <s v="Medium"/>
  </r>
  <r>
    <x v="72"/>
    <s v="B150"/>
    <x v="9"/>
    <x v="3"/>
    <n v="9"/>
    <n v="45"/>
    <x v="0"/>
    <n v="405"/>
    <x v="0"/>
    <x v="2"/>
    <s v="Medium"/>
  </r>
  <r>
    <x v="26"/>
    <s v="B151"/>
    <x v="17"/>
    <x v="5"/>
    <n v="7"/>
    <n v="30"/>
    <x v="0"/>
    <n v="210"/>
    <x v="3"/>
    <x v="0"/>
    <s v="Medium"/>
  </r>
  <r>
    <x v="29"/>
    <s v="B152"/>
    <x v="19"/>
    <x v="3"/>
    <n v="3"/>
    <n v="60"/>
    <x v="0"/>
    <n v="180"/>
    <x v="0"/>
    <x v="5"/>
    <s v="Medium"/>
  </r>
  <r>
    <x v="38"/>
    <s v="B153"/>
    <x v="19"/>
    <x v="3"/>
    <n v="6"/>
    <n v="60"/>
    <x v="0"/>
    <n v="360"/>
    <x v="0"/>
    <x v="0"/>
    <s v="Medium"/>
  </r>
  <r>
    <x v="57"/>
    <s v="B154"/>
    <x v="16"/>
    <x v="6"/>
    <n v="6"/>
    <n v="25"/>
    <x v="2"/>
    <n v="150"/>
    <x v="0"/>
    <x v="1"/>
    <s v="Medium"/>
  </r>
  <r>
    <x v="29"/>
    <s v="B155"/>
    <x v="12"/>
    <x v="1"/>
    <n v="6"/>
    <n v="35"/>
    <x v="2"/>
    <n v="210"/>
    <x v="0"/>
    <x v="5"/>
    <s v="Medium"/>
  </r>
  <r>
    <x v="17"/>
    <s v="B156"/>
    <x v="6"/>
    <x v="4"/>
    <n v="9"/>
    <n v="40"/>
    <x v="1"/>
    <n v="360"/>
    <x v="1"/>
    <x v="4"/>
    <s v="Medium"/>
  </r>
  <r>
    <x v="68"/>
    <s v="B157"/>
    <x v="18"/>
    <x v="7"/>
    <n v="5"/>
    <n v="50"/>
    <x v="2"/>
    <n v="250"/>
    <x v="1"/>
    <x v="2"/>
    <s v="Medium"/>
  </r>
  <r>
    <x v="73"/>
    <s v="B158"/>
    <x v="4"/>
    <x v="3"/>
    <n v="9"/>
    <n v="55"/>
    <x v="1"/>
    <n v="495"/>
    <x v="1"/>
    <x v="6"/>
    <s v="Medium"/>
  </r>
  <r>
    <x v="6"/>
    <s v="B159"/>
    <x v="17"/>
    <x v="5"/>
    <n v="10"/>
    <n v="30"/>
    <x v="1"/>
    <n v="300"/>
    <x v="3"/>
    <x v="2"/>
    <s v="Medium"/>
  </r>
  <r>
    <x v="74"/>
    <s v="B160"/>
    <x v="5"/>
    <x v="0"/>
    <n v="1"/>
    <n v="300"/>
    <x v="2"/>
    <n v="300"/>
    <x v="3"/>
    <x v="6"/>
    <s v="Medium"/>
  </r>
  <r>
    <x v="32"/>
    <s v="B161"/>
    <x v="19"/>
    <x v="3"/>
    <n v="10"/>
    <n v="60"/>
    <x v="1"/>
    <n v="600"/>
    <x v="1"/>
    <x v="3"/>
    <s v="High"/>
  </r>
  <r>
    <x v="55"/>
    <s v="B162"/>
    <x v="15"/>
    <x v="7"/>
    <n v="3"/>
    <n v="200"/>
    <x v="0"/>
    <n v="600"/>
    <x v="0"/>
    <x v="4"/>
    <s v="High"/>
  </r>
  <r>
    <x v="47"/>
    <s v="B163"/>
    <x v="5"/>
    <x v="0"/>
    <n v="1"/>
    <n v="300"/>
    <x v="0"/>
    <n v="300"/>
    <x v="3"/>
    <x v="5"/>
    <s v="Medium"/>
  </r>
  <r>
    <x v="25"/>
    <s v="B164"/>
    <x v="15"/>
    <x v="7"/>
    <n v="9"/>
    <n v="200"/>
    <x v="0"/>
    <n v="1800"/>
    <x v="3"/>
    <x v="5"/>
    <s v="High"/>
  </r>
  <r>
    <x v="75"/>
    <s v="B165"/>
    <x v="15"/>
    <x v="7"/>
    <n v="6"/>
    <n v="200"/>
    <x v="1"/>
    <n v="1200"/>
    <x v="3"/>
    <x v="6"/>
    <s v="High"/>
  </r>
  <r>
    <x v="13"/>
    <s v="B166"/>
    <x v="15"/>
    <x v="7"/>
    <n v="3"/>
    <n v="200"/>
    <x v="1"/>
    <n v="600"/>
    <x v="3"/>
    <x v="3"/>
    <s v="High"/>
  </r>
  <r>
    <x v="65"/>
    <s v="B167"/>
    <x v="18"/>
    <x v="7"/>
    <n v="3"/>
    <n v="50"/>
    <x v="0"/>
    <n v="150"/>
    <x v="3"/>
    <x v="3"/>
    <s v="Medium"/>
  </r>
  <r>
    <x v="14"/>
    <s v="B168"/>
    <x v="5"/>
    <x v="0"/>
    <n v="2"/>
    <n v="300"/>
    <x v="2"/>
    <n v="600"/>
    <x v="0"/>
    <x v="3"/>
    <s v="High"/>
  </r>
  <r>
    <x v="29"/>
    <s v="B169"/>
    <x v="8"/>
    <x v="2"/>
    <n v="6"/>
    <n v="80"/>
    <x v="1"/>
    <n v="480"/>
    <x v="0"/>
    <x v="5"/>
    <s v="Medium"/>
  </r>
  <r>
    <x v="52"/>
    <s v="B170"/>
    <x v="16"/>
    <x v="6"/>
    <n v="3"/>
    <n v="25"/>
    <x v="0"/>
    <n v="75"/>
    <x v="3"/>
    <x v="1"/>
    <s v="Low"/>
  </r>
  <r>
    <x v="11"/>
    <s v="B171"/>
    <x v="14"/>
    <x v="6"/>
    <n v="2"/>
    <n v="20"/>
    <x v="2"/>
    <n v="40"/>
    <x v="1"/>
    <x v="4"/>
    <s v="Low"/>
  </r>
  <r>
    <x v="65"/>
    <s v="B172"/>
    <x v="5"/>
    <x v="0"/>
    <n v="4"/>
    <n v="300"/>
    <x v="1"/>
    <n v="1200"/>
    <x v="3"/>
    <x v="3"/>
    <s v="High"/>
  </r>
  <r>
    <x v="28"/>
    <s v="B173"/>
    <x v="0"/>
    <x v="0"/>
    <n v="4"/>
    <n v="6"/>
    <x v="0"/>
    <n v="24"/>
    <x v="3"/>
    <x v="3"/>
    <s v="Low"/>
  </r>
  <r>
    <x v="11"/>
    <s v="B174"/>
    <x v="6"/>
    <x v="4"/>
    <n v="6"/>
    <n v="40"/>
    <x v="1"/>
    <n v="240"/>
    <x v="1"/>
    <x v="4"/>
    <s v="Medium"/>
  </r>
  <r>
    <x v="76"/>
    <s v="B175"/>
    <x v="6"/>
    <x v="4"/>
    <n v="7"/>
    <n v="40"/>
    <x v="1"/>
    <n v="280"/>
    <x v="1"/>
    <x v="6"/>
    <s v="Medium"/>
  </r>
  <r>
    <x v="23"/>
    <s v="B176"/>
    <x v="5"/>
    <x v="0"/>
    <n v="9"/>
    <n v="300"/>
    <x v="2"/>
    <n v="2700"/>
    <x v="3"/>
    <x v="4"/>
    <s v="High"/>
  </r>
  <r>
    <x v="41"/>
    <s v="B177"/>
    <x v="8"/>
    <x v="2"/>
    <n v="3"/>
    <n v="80"/>
    <x v="0"/>
    <n v="240"/>
    <x v="0"/>
    <x v="3"/>
    <s v="Medium"/>
  </r>
  <r>
    <x v="22"/>
    <s v="B178"/>
    <x v="0"/>
    <x v="0"/>
    <n v="9"/>
    <n v="6"/>
    <x v="1"/>
    <n v="54"/>
    <x v="3"/>
    <x v="4"/>
    <s v="Low"/>
  </r>
  <r>
    <x v="77"/>
    <s v="B179"/>
    <x v="7"/>
    <x v="5"/>
    <n v="4"/>
    <n v="120"/>
    <x v="2"/>
    <n v="480"/>
    <x v="1"/>
    <x v="2"/>
    <s v="Medium"/>
  </r>
  <r>
    <x v="75"/>
    <s v="B180"/>
    <x v="11"/>
    <x v="7"/>
    <n v="9"/>
    <n v="70"/>
    <x v="2"/>
    <n v="630"/>
    <x v="3"/>
    <x v="6"/>
    <s v="High"/>
  </r>
  <r>
    <x v="38"/>
    <s v="B181"/>
    <x v="9"/>
    <x v="3"/>
    <n v="5"/>
    <n v="45"/>
    <x v="1"/>
    <n v="225"/>
    <x v="0"/>
    <x v="0"/>
    <s v="Medium"/>
  </r>
  <r>
    <x v="44"/>
    <s v="B182"/>
    <x v="13"/>
    <x v="7"/>
    <n v="5"/>
    <n v="150"/>
    <x v="1"/>
    <n v="750"/>
    <x v="1"/>
    <x v="4"/>
    <s v="High"/>
  </r>
  <r>
    <x v="78"/>
    <s v="B183"/>
    <x v="11"/>
    <x v="7"/>
    <n v="5"/>
    <n v="70"/>
    <x v="1"/>
    <n v="350"/>
    <x v="0"/>
    <x v="6"/>
    <s v="Medium"/>
  </r>
  <r>
    <x v="79"/>
    <s v="B184"/>
    <x v="19"/>
    <x v="3"/>
    <n v="3"/>
    <n v="60"/>
    <x v="0"/>
    <n v="180"/>
    <x v="0"/>
    <x v="4"/>
    <s v="Medium"/>
  </r>
  <r>
    <x v="80"/>
    <s v="B185"/>
    <x v="12"/>
    <x v="1"/>
    <n v="3"/>
    <n v="35"/>
    <x v="2"/>
    <n v="105"/>
    <x v="0"/>
    <x v="5"/>
    <s v="Medium"/>
  </r>
  <r>
    <x v="56"/>
    <s v="B186"/>
    <x v="11"/>
    <x v="7"/>
    <n v="7"/>
    <n v="70"/>
    <x v="0"/>
    <n v="490"/>
    <x v="0"/>
    <x v="5"/>
    <s v="Medium"/>
  </r>
  <r>
    <x v="37"/>
    <s v="B187"/>
    <x v="13"/>
    <x v="7"/>
    <n v="4"/>
    <n v="150"/>
    <x v="1"/>
    <n v="600"/>
    <x v="1"/>
    <x v="0"/>
    <s v="High"/>
  </r>
  <r>
    <x v="19"/>
    <s v="B188"/>
    <x v="14"/>
    <x v="6"/>
    <n v="3"/>
    <n v="20"/>
    <x v="2"/>
    <n v="60"/>
    <x v="0"/>
    <x v="1"/>
    <s v="Low"/>
  </r>
  <r>
    <x v="11"/>
    <s v="B189"/>
    <x v="3"/>
    <x v="2"/>
    <n v="4"/>
    <n v="60"/>
    <x v="2"/>
    <n v="240"/>
    <x v="1"/>
    <x v="4"/>
    <s v="Medium"/>
  </r>
  <r>
    <x v="50"/>
    <s v="B190"/>
    <x v="2"/>
    <x v="0"/>
    <n v="1"/>
    <n v="260"/>
    <x v="0"/>
    <n v="260"/>
    <x v="3"/>
    <x v="2"/>
    <s v="Medium"/>
  </r>
  <r>
    <x v="63"/>
    <s v="B191"/>
    <x v="4"/>
    <x v="3"/>
    <n v="7"/>
    <n v="55"/>
    <x v="0"/>
    <n v="385"/>
    <x v="1"/>
    <x v="4"/>
    <s v="Medium"/>
  </r>
  <r>
    <x v="32"/>
    <s v="B192"/>
    <x v="14"/>
    <x v="6"/>
    <n v="3"/>
    <n v="20"/>
    <x v="0"/>
    <n v="60"/>
    <x v="1"/>
    <x v="3"/>
    <s v="Low"/>
  </r>
  <r>
    <x v="81"/>
    <s v="B193"/>
    <x v="5"/>
    <x v="0"/>
    <n v="6"/>
    <n v="300"/>
    <x v="0"/>
    <n v="1800"/>
    <x v="1"/>
    <x v="6"/>
    <s v="High"/>
  </r>
  <r>
    <x v="76"/>
    <s v="B194"/>
    <x v="13"/>
    <x v="7"/>
    <n v="6"/>
    <n v="150"/>
    <x v="2"/>
    <n v="900"/>
    <x v="1"/>
    <x v="6"/>
    <s v="High"/>
  </r>
  <r>
    <x v="17"/>
    <s v="B195"/>
    <x v="0"/>
    <x v="0"/>
    <n v="8"/>
    <n v="6"/>
    <x v="2"/>
    <n v="48"/>
    <x v="1"/>
    <x v="4"/>
    <s v="Low"/>
  </r>
  <r>
    <x v="27"/>
    <s v="B196"/>
    <x v="10"/>
    <x v="6"/>
    <n v="1"/>
    <n v="90"/>
    <x v="1"/>
    <n v="90"/>
    <x v="3"/>
    <x v="0"/>
    <s v="Low"/>
  </r>
  <r>
    <x v="25"/>
    <s v="B197"/>
    <x v="7"/>
    <x v="5"/>
    <n v="7"/>
    <n v="120"/>
    <x v="0"/>
    <n v="840"/>
    <x v="3"/>
    <x v="5"/>
    <s v="High"/>
  </r>
  <r>
    <x v="7"/>
    <s v="B198"/>
    <x v="0"/>
    <x v="0"/>
    <n v="7"/>
    <n v="6"/>
    <x v="1"/>
    <n v="42"/>
    <x v="0"/>
    <x v="4"/>
    <s v="Low"/>
  </r>
  <r>
    <x v="22"/>
    <s v="B199"/>
    <x v="19"/>
    <x v="3"/>
    <n v="6"/>
    <n v="60"/>
    <x v="0"/>
    <n v="360"/>
    <x v="3"/>
    <x v="4"/>
    <s v="Medium"/>
  </r>
  <r>
    <x v="73"/>
    <s v="B200"/>
    <x v="11"/>
    <x v="7"/>
    <n v="5"/>
    <n v="70"/>
    <x v="2"/>
    <n v="350"/>
    <x v="1"/>
    <x v="6"/>
    <s v="Mediu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39:B45" firstHeaderRow="1" firstDataRow="1" firstDataCol="1"/>
  <pivotFields count="11">
    <pivotField numFmtId="164" showAll="0"/>
    <pivotField showAll="0"/>
    <pivotField axis="axisRow" showAll="0" measureFilter="1" sortType="descending">
      <items count="21">
        <item x="7"/>
        <item x="17"/>
        <item x="14"/>
        <item x="6"/>
        <item x="13"/>
        <item x="15"/>
        <item x="2"/>
        <item x="16"/>
        <item x="10"/>
        <item x="3"/>
        <item x="0"/>
        <item x="5"/>
        <item x="11"/>
        <item x="8"/>
        <item x="18"/>
        <item x="1"/>
        <item x="19"/>
        <item x="9"/>
        <item x="12"/>
        <item x="4"/>
        <item t="default"/>
      </items>
      <autoSortScope>
        <pivotArea dataOnly="0" outline="0" fieldPosition="0">
          <references count="1">
            <reference field="4294967294" count="1" selected="0">
              <x v="0"/>
            </reference>
          </references>
        </pivotArea>
      </autoSortScope>
    </pivotField>
    <pivotField showAll="0">
      <items count="9">
        <item x="4"/>
        <item h="1" x="2"/>
        <item x="7"/>
        <item x="5"/>
        <item h="1" x="3"/>
        <item x="0"/>
        <item x="6"/>
        <item h="1" x="1"/>
        <item t="default"/>
      </items>
    </pivotField>
    <pivotField showAll="0"/>
    <pivotField showAll="0"/>
    <pivotField showAll="0"/>
    <pivotField dataField="1" showAll="0"/>
    <pivotField showAll="0">
      <items count="5">
        <item x="1"/>
        <item x="3"/>
        <item h="1" x="0"/>
        <item h="1" x="2"/>
        <item t="default"/>
      </items>
    </pivotField>
    <pivotField showAll="0"/>
    <pivotField showAll="0" defaultSubtotal="0"/>
  </pivotFields>
  <rowFields count="1">
    <field x="2"/>
  </rowFields>
  <rowItems count="6">
    <i>
      <x v="6"/>
    </i>
    <i>
      <x v="11"/>
    </i>
    <i>
      <x v="5"/>
    </i>
    <i>
      <x v="4"/>
    </i>
    <i>
      <x v="12"/>
    </i>
    <i t="grand">
      <x/>
    </i>
  </rowItems>
  <colItems count="1">
    <i/>
  </colItems>
  <dataFields count="1">
    <dataField name="Sum of Total_Amount" fld="7" showDataAs="percentOfTotal" baseField="0" baseItem="0" numFmtId="10"/>
  </dataFields>
  <chartFormats count="2">
    <chartFormat chart="6" format="1"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24:B27" firstHeaderRow="1" firstDataRow="1" firstDataCol="1"/>
  <pivotFields count="11">
    <pivotField numFmtId="164" showAll="0"/>
    <pivotField showAll="0"/>
    <pivotField showAll="0"/>
    <pivotField showAll="0">
      <items count="9">
        <item x="4"/>
        <item h="1" x="2"/>
        <item x="7"/>
        <item x="5"/>
        <item h="1" x="3"/>
        <item x="0"/>
        <item x="6"/>
        <item h="1" x="1"/>
        <item t="default"/>
      </items>
    </pivotField>
    <pivotField showAll="0"/>
    <pivotField showAll="0"/>
    <pivotField showAll="0"/>
    <pivotField dataField="1" showAll="0"/>
    <pivotField axis="axisRow" showAll="0">
      <items count="5">
        <item x="1"/>
        <item x="3"/>
        <item h="1" x="0"/>
        <item h="1" x="2"/>
        <item t="default"/>
      </items>
    </pivotField>
    <pivotField showAll="0"/>
    <pivotField showAll="0" defaultSubtotal="0"/>
  </pivotFields>
  <rowFields count="1">
    <field x="8"/>
  </rowFields>
  <rowItems count="3">
    <i>
      <x/>
    </i>
    <i>
      <x v="1"/>
    </i>
    <i t="grand">
      <x/>
    </i>
  </rowItems>
  <colItems count="1">
    <i/>
  </colItems>
  <dataFields count="1">
    <dataField name="Sum of Total_Amount" fld="7" showDataAs="percentOfTotal" baseField="0" baseItem="0" numFmtId="10"/>
  </dataFields>
  <chartFormats count="2">
    <chartFormat chart="4"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A92:B98" firstHeaderRow="1" firstDataRow="1" firstDataCol="1"/>
  <pivotFields count="11">
    <pivotField numFmtId="164" showAll="0"/>
    <pivotField showAll="0"/>
    <pivotField showAll="0"/>
    <pivotField axis="axisRow" showAll="0" sortType="descending">
      <items count="9">
        <item x="4"/>
        <item h="1" x="2"/>
        <item x="7"/>
        <item x="5"/>
        <item h="1" x="3"/>
        <item x="0"/>
        <item x="6"/>
        <item h="1" x="1"/>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items count="5">
        <item x="1"/>
        <item x="3"/>
        <item h="1" x="0"/>
        <item h="1" x="2"/>
        <item t="default"/>
      </items>
    </pivotField>
    <pivotField showAll="0"/>
    <pivotField showAll="0" defaultSubtotal="0"/>
  </pivotFields>
  <rowFields count="1">
    <field x="3"/>
  </rowFields>
  <rowItems count="6">
    <i>
      <x v="2"/>
    </i>
    <i>
      <x v="5"/>
    </i>
    <i>
      <x v="6"/>
    </i>
    <i>
      <x v="3"/>
    </i>
    <i>
      <x/>
    </i>
    <i t="grand">
      <x/>
    </i>
  </rowItems>
  <colItems count="1">
    <i/>
  </colItems>
  <dataFields count="1">
    <dataField name="Sum of Quantity" fld="4" baseField="0" baseItem="0"/>
  </dataFields>
  <chartFormats count="2">
    <chartFormat chart="9" format="1"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A57:B61" firstHeaderRow="1" firstDataRow="1" firstDataCol="1"/>
  <pivotFields count="11">
    <pivotField numFmtId="164" showAll="0"/>
    <pivotField showAll="0"/>
    <pivotField showAll="0"/>
    <pivotField showAll="0">
      <items count="9">
        <item x="4"/>
        <item h="1" x="2"/>
        <item x="7"/>
        <item x="5"/>
        <item h="1" x="3"/>
        <item x="0"/>
        <item x="6"/>
        <item h="1" x="1"/>
        <item t="default"/>
      </items>
    </pivotField>
    <pivotField showAll="0"/>
    <pivotField showAll="0"/>
    <pivotField axis="axisRow" showAll="0">
      <items count="4">
        <item x="2"/>
        <item x="1"/>
        <item x="0"/>
        <item t="default"/>
      </items>
    </pivotField>
    <pivotField dataField="1" showAll="0"/>
    <pivotField showAll="0">
      <items count="5">
        <item x="1"/>
        <item x="3"/>
        <item h="1" x="0"/>
        <item h="1" x="2"/>
        <item t="default"/>
      </items>
    </pivotField>
    <pivotField showAll="0"/>
    <pivotField showAll="0" defaultSubtotal="0"/>
  </pivotFields>
  <rowFields count="1">
    <field x="6"/>
  </rowFields>
  <rowItems count="4">
    <i>
      <x/>
    </i>
    <i>
      <x v="1"/>
    </i>
    <i>
      <x v="2"/>
    </i>
    <i t="grand">
      <x/>
    </i>
  </rowItems>
  <colItems count="1">
    <i/>
  </colItems>
  <dataFields count="1">
    <dataField name="Sum of Total_Amount" fld="7" showDataAs="percentOfTotal" baseField="0" baseItem="0" numFmtId="10"/>
  </dataFields>
  <chartFormats count="8">
    <chartFormat chart="8" format="1" series="1">
      <pivotArea type="data" outline="0" fieldPosition="0">
        <references count="1">
          <reference field="4294967294" count="1" selected="0">
            <x v="0"/>
          </reference>
        </references>
      </pivotArea>
    </chartFormat>
    <chartFormat chart="8" format="2">
      <pivotArea type="data" outline="0" fieldPosition="0">
        <references count="2">
          <reference field="4294967294" count="1" selected="0">
            <x v="0"/>
          </reference>
          <reference field="6" count="1" selected="0">
            <x v="0"/>
          </reference>
        </references>
      </pivotArea>
    </chartFormat>
    <chartFormat chart="8" format="3">
      <pivotArea type="data" outline="0" fieldPosition="0">
        <references count="2">
          <reference field="4294967294" count="1" selected="0">
            <x v="0"/>
          </reference>
          <reference field="6" count="1" selected="0">
            <x v="1"/>
          </reference>
        </references>
      </pivotArea>
    </chartFormat>
    <chartFormat chart="8" format="4">
      <pivotArea type="data" outline="0" fieldPosition="0">
        <references count="2">
          <reference field="4294967294" count="1" selected="0">
            <x v="0"/>
          </reference>
          <reference field="6" count="1" selected="0">
            <x v="2"/>
          </reference>
        </references>
      </pivotArea>
    </chartFormat>
    <chartFormat chart="10" format="9" series="1">
      <pivotArea type="data" outline="0" fieldPosition="0">
        <references count="1">
          <reference field="4294967294" count="1" selected="0">
            <x v="0"/>
          </reference>
        </references>
      </pivotArea>
    </chartFormat>
    <chartFormat chart="10" format="10">
      <pivotArea type="data" outline="0" fieldPosition="0">
        <references count="2">
          <reference field="4294967294" count="1" selected="0">
            <x v="0"/>
          </reference>
          <reference field="6" count="1" selected="0">
            <x v="0"/>
          </reference>
        </references>
      </pivotArea>
    </chartFormat>
    <chartFormat chart="10" format="11">
      <pivotArea type="data" outline="0" fieldPosition="0">
        <references count="2">
          <reference field="4294967294" count="1" selected="0">
            <x v="0"/>
          </reference>
          <reference field="6" count="1" selected="0">
            <x v="1"/>
          </reference>
        </references>
      </pivotArea>
    </chartFormat>
    <chartFormat chart="10" format="12">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140:C154" firstHeaderRow="0" firstDataRow="1" firstDataCol="1"/>
  <pivotFields count="11">
    <pivotField numFmtId="14" showAll="0"/>
    <pivotField showAll="0"/>
    <pivotField axis="axisRow" showAll="0" sortType="ascending">
      <items count="21">
        <item x="7"/>
        <item x="17"/>
        <item x="14"/>
        <item x="6"/>
        <item x="13"/>
        <item x="15"/>
        <item x="2"/>
        <item x="16"/>
        <item x="10"/>
        <item x="3"/>
        <item x="0"/>
        <item x="5"/>
        <item x="11"/>
        <item x="8"/>
        <item x="18"/>
        <item x="1"/>
        <item x="19"/>
        <item x="9"/>
        <item x="12"/>
        <item x="4"/>
        <item t="default"/>
      </items>
      <autoSortScope>
        <pivotArea dataOnly="0" outline="0" fieldPosition="0">
          <references count="1">
            <reference field="4294967294" count="1" selected="0">
              <x v="1"/>
            </reference>
          </references>
        </pivotArea>
      </autoSortScope>
    </pivotField>
    <pivotField showAll="0">
      <items count="9">
        <item x="4"/>
        <item h="1" x="2"/>
        <item x="7"/>
        <item x="5"/>
        <item h="1" x="3"/>
        <item x="0"/>
        <item x="6"/>
        <item h="1" x="1"/>
        <item t="default"/>
      </items>
    </pivotField>
    <pivotField dataField="1" showAll="0"/>
    <pivotField showAll="0"/>
    <pivotField showAll="0"/>
    <pivotField dataField="1" showAll="0"/>
    <pivotField showAll="0">
      <items count="5">
        <item x="1"/>
        <item x="3"/>
        <item h="1" x="0"/>
        <item h="1" x="2"/>
        <item t="default"/>
      </items>
    </pivotField>
    <pivotField showAll="0"/>
    <pivotField showAll="0"/>
  </pivotFields>
  <rowFields count="1">
    <field x="2"/>
  </rowFields>
  <rowItems count="14">
    <i>
      <x v="8"/>
    </i>
    <i>
      <x v="2"/>
    </i>
    <i>
      <x v="14"/>
    </i>
    <i>
      <x v="1"/>
    </i>
    <i>
      <x v="4"/>
    </i>
    <i>
      <x/>
    </i>
    <i>
      <x v="7"/>
    </i>
    <i>
      <x v="10"/>
    </i>
    <i>
      <x v="11"/>
    </i>
    <i>
      <x v="3"/>
    </i>
    <i>
      <x v="12"/>
    </i>
    <i>
      <x v="6"/>
    </i>
    <i>
      <x v="5"/>
    </i>
    <i t="grand">
      <x/>
    </i>
  </rowItems>
  <colFields count="1">
    <field x="-2"/>
  </colFields>
  <colItems count="2">
    <i>
      <x/>
    </i>
    <i i="1">
      <x v="1"/>
    </i>
  </colItems>
  <dataFields count="2">
    <dataField name="Sum of Total_Amount" fld="7" baseField="0" baseItem="0"/>
    <dataField name="Sum of Quantity" fld="4" baseField="0" baseItem="0"/>
  </dataFields>
  <chartFormats count="4">
    <chartFormat chart="5"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1:B7" firstHeaderRow="1" firstDataRow="1" firstDataCol="1"/>
  <pivotFields count="11">
    <pivotField numFmtId="164" showAll="0"/>
    <pivotField showAll="0"/>
    <pivotField showAll="0"/>
    <pivotField axis="axisRow" showAll="0">
      <items count="9">
        <item x="4"/>
        <item h="1" x="2"/>
        <item x="7"/>
        <item x="5"/>
        <item h="1" x="3"/>
        <item x="0"/>
        <item x="6"/>
        <item h="1" x="1"/>
        <item t="default"/>
      </items>
    </pivotField>
    <pivotField showAll="0"/>
    <pivotField showAll="0"/>
    <pivotField showAll="0"/>
    <pivotField dataField="1" showAll="0"/>
    <pivotField showAll="0">
      <items count="5">
        <item x="1"/>
        <item x="3"/>
        <item h="1" x="0"/>
        <item h="1" x="2"/>
        <item t="default"/>
      </items>
    </pivotField>
    <pivotField showAll="0"/>
    <pivotField showAll="0" defaultSubtotal="0"/>
  </pivotFields>
  <rowFields count="1">
    <field x="3"/>
  </rowFields>
  <rowItems count="6">
    <i>
      <x/>
    </i>
    <i>
      <x v="2"/>
    </i>
    <i>
      <x v="3"/>
    </i>
    <i>
      <x v="5"/>
    </i>
    <i>
      <x v="6"/>
    </i>
    <i t="grand">
      <x/>
    </i>
  </rowItems>
  <colItems count="1">
    <i/>
  </colItems>
  <dataFields count="1">
    <dataField name="Sum of Total_Amount" fld="7" baseField="0" baseItem="0"/>
  </dataFields>
  <formats count="11">
    <format dxfId="10">
      <pivotArea grandRow="1" outline="0" collapsedLevelsAreSubtotals="1" fieldPosition="0"/>
    </format>
    <format dxfId="9">
      <pivotArea grandRow="1" outline="0" collapsedLevelsAreSubtotals="1" fieldPosition="0"/>
    </format>
    <format dxfId="8">
      <pivotArea grandRow="1" outline="0" collapsedLevelsAreSubtotals="1" fieldPosition="0"/>
    </format>
    <format dxfId="7">
      <pivotArea outline="0" collapsedLevelsAreSubtotals="1" fieldPosition="0"/>
    </format>
    <format dxfId="6">
      <pivotArea outline="0" collapsedLevelsAreSubtotals="1" fieldPosition="0"/>
    </format>
    <format dxfId="5">
      <pivotArea outline="0" collapsedLevelsAreSubtotals="1" fieldPosition="0"/>
    </format>
    <format dxfId="4">
      <pivotArea outline="0" collapsedLevelsAreSubtotals="1" fieldPosition="0"/>
    </format>
    <format dxfId="3">
      <pivotArea collapsedLevelsAreSubtotals="1" fieldPosition="0">
        <references count="1">
          <reference field="3" count="0"/>
        </references>
      </pivotArea>
    </format>
    <format dxfId="2">
      <pivotArea collapsedLevelsAreSubtotals="1" fieldPosition="0">
        <references count="1">
          <reference field="3" count="0"/>
        </references>
      </pivotArea>
    </format>
    <format dxfId="1">
      <pivotArea collapsedLevelsAreSubtotals="1" fieldPosition="0">
        <references count="1">
          <reference field="3" count="0"/>
        </references>
      </pivotArea>
    </format>
    <format dxfId="0">
      <pivotArea outline="0" fieldPosition="0">
        <references count="1">
          <reference field="4294967294" count="1">
            <x v="0"/>
          </reference>
        </references>
      </pivotArea>
    </format>
  </formats>
  <chartFormats count="2">
    <chartFormat chart="4" format="1"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166:B188" firstHeaderRow="1" firstDataRow="1" firstDataCol="1"/>
  <pivotFields count="11">
    <pivotField numFmtId="14" showAll="0"/>
    <pivotField showAll="0"/>
    <pivotField showAll="0"/>
    <pivotField showAll="0">
      <items count="9">
        <item x="4"/>
        <item h="1" x="2"/>
        <item x="7"/>
        <item x="5"/>
        <item h="1" x="3"/>
        <item x="0"/>
        <item x="6"/>
        <item h="1" x="1"/>
        <item t="default"/>
      </items>
    </pivotField>
    <pivotField showAll="0"/>
    <pivotField showAll="0"/>
    <pivotField showAll="0"/>
    <pivotField dataField="1" showAll="0"/>
    <pivotField axis="axisRow" showAll="0" sortType="descending">
      <items count="5">
        <item x="1"/>
        <item x="3"/>
        <item h="1" x="0"/>
        <item h="1" x="2"/>
        <item t="default"/>
      </items>
      <autoSortScope>
        <pivotArea dataOnly="0" outline="0" fieldPosition="0">
          <references count="1">
            <reference field="4294967294" count="1" selected="0">
              <x v="0"/>
            </reference>
          </references>
        </pivotArea>
      </autoSortScope>
    </pivotField>
    <pivotField axis="axisRow" showAll="0">
      <items count="8">
        <item x="5"/>
        <item x="1"/>
        <item x="3"/>
        <item x="0"/>
        <item x="6"/>
        <item x="4"/>
        <item x="2"/>
        <item t="default"/>
      </items>
    </pivotField>
    <pivotField showAll="0"/>
  </pivotFields>
  <rowFields count="2">
    <field x="9"/>
    <field x="8"/>
  </rowFields>
  <rowItems count="22">
    <i>
      <x/>
    </i>
    <i r="1">
      <x v="1"/>
    </i>
    <i r="1">
      <x/>
    </i>
    <i>
      <x v="1"/>
    </i>
    <i r="1">
      <x v="1"/>
    </i>
    <i r="1">
      <x/>
    </i>
    <i>
      <x v="2"/>
    </i>
    <i r="1">
      <x/>
    </i>
    <i r="1">
      <x v="1"/>
    </i>
    <i>
      <x v="3"/>
    </i>
    <i r="1">
      <x v="1"/>
    </i>
    <i r="1">
      <x/>
    </i>
    <i>
      <x v="4"/>
    </i>
    <i r="1">
      <x/>
    </i>
    <i r="1">
      <x v="1"/>
    </i>
    <i>
      <x v="5"/>
    </i>
    <i r="1">
      <x v="1"/>
    </i>
    <i r="1">
      <x/>
    </i>
    <i>
      <x v="6"/>
    </i>
    <i r="1">
      <x/>
    </i>
    <i r="1">
      <x v="1"/>
    </i>
    <i t="grand">
      <x/>
    </i>
  </rowItems>
  <colItems count="1">
    <i/>
  </colItems>
  <dataFields count="1">
    <dataField name="Sum of Total_Amount" fld="7" baseField="0" baseItem="0"/>
  </dataFields>
  <chartFormats count="2">
    <chartFormat chart="6" format="1"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A75:G79" firstHeaderRow="1" firstDataRow="2" firstDataCol="1"/>
  <pivotFields count="11">
    <pivotField numFmtId="164" showAll="0"/>
    <pivotField showAll="0"/>
    <pivotField showAll="0"/>
    <pivotField axis="axisCol" showAll="0">
      <items count="9">
        <item x="4"/>
        <item h="1" x="2"/>
        <item x="7"/>
        <item x="5"/>
        <item h="1" x="3"/>
        <item x="0"/>
        <item x="6"/>
        <item h="1" x="1"/>
        <item t="default"/>
      </items>
    </pivotField>
    <pivotField showAll="0"/>
    <pivotField showAll="0"/>
    <pivotField showAll="0"/>
    <pivotField dataField="1" showAll="0"/>
    <pivotField axis="axisRow" showAll="0">
      <items count="5">
        <item x="1"/>
        <item x="3"/>
        <item h="1" x="0"/>
        <item h="1" x="2"/>
        <item t="default"/>
      </items>
    </pivotField>
    <pivotField showAll="0"/>
    <pivotField showAll="0" defaultSubtotal="0"/>
  </pivotFields>
  <rowFields count="1">
    <field x="8"/>
  </rowFields>
  <rowItems count="3">
    <i>
      <x/>
    </i>
    <i>
      <x v="1"/>
    </i>
    <i t="grand">
      <x/>
    </i>
  </rowItems>
  <colFields count="1">
    <field x="3"/>
  </colFields>
  <colItems count="6">
    <i>
      <x/>
    </i>
    <i>
      <x v="2"/>
    </i>
    <i>
      <x v="3"/>
    </i>
    <i>
      <x v="5"/>
    </i>
    <i>
      <x v="6"/>
    </i>
    <i t="grand">
      <x/>
    </i>
  </colItems>
  <dataFields count="1">
    <dataField name="Sum of Total_Amount" fld="7" showDataAs="percentOfTotal" baseField="0" baseItem="0" numFmtId="10"/>
  </dataFields>
  <conditionalFormats count="1">
    <conditionalFormat priority="10">
      <pivotAreas count="1">
        <pivotArea type="all" outline="0" fieldPosition="0"/>
      </pivotAreas>
    </conditionalFormat>
  </conditionalFormats>
  <chartFormats count="18">
    <chartFormat chart="9" format="8" series="1">
      <pivotArea type="data" outline="0" fieldPosition="0">
        <references count="2">
          <reference field="4294967294" count="1" selected="0">
            <x v="0"/>
          </reference>
          <reference field="3" count="1" selected="0">
            <x v="0"/>
          </reference>
        </references>
      </pivotArea>
    </chartFormat>
    <chartFormat chart="9" format="9" series="1">
      <pivotArea type="data" outline="0" fieldPosition="0">
        <references count="2">
          <reference field="4294967294" count="1" selected="0">
            <x v="0"/>
          </reference>
          <reference field="3" count="1" selected="0">
            <x v="1"/>
          </reference>
        </references>
      </pivotArea>
    </chartFormat>
    <chartFormat chart="9" format="10" series="1">
      <pivotArea type="data" outline="0" fieldPosition="0">
        <references count="2">
          <reference field="4294967294" count="1" selected="0">
            <x v="0"/>
          </reference>
          <reference field="3" count="1" selected="0">
            <x v="2"/>
          </reference>
        </references>
      </pivotArea>
    </chartFormat>
    <chartFormat chart="9" format="11" series="1">
      <pivotArea type="data" outline="0" fieldPosition="0">
        <references count="2">
          <reference field="4294967294" count="1" selected="0">
            <x v="0"/>
          </reference>
          <reference field="3" count="1" selected="0">
            <x v="3"/>
          </reference>
        </references>
      </pivotArea>
    </chartFormat>
    <chartFormat chart="9" format="12" series="1">
      <pivotArea type="data" outline="0" fieldPosition="0">
        <references count="2">
          <reference field="4294967294" count="1" selected="0">
            <x v="0"/>
          </reference>
          <reference field="3" count="1" selected="0">
            <x v="4"/>
          </reference>
        </references>
      </pivotArea>
    </chartFormat>
    <chartFormat chart="9" format="13" series="1">
      <pivotArea type="data" outline="0" fieldPosition="0">
        <references count="2">
          <reference field="4294967294" count="1" selected="0">
            <x v="0"/>
          </reference>
          <reference field="3" count="1" selected="0">
            <x v="5"/>
          </reference>
        </references>
      </pivotArea>
    </chartFormat>
    <chartFormat chart="9" format="14" series="1">
      <pivotArea type="data" outline="0" fieldPosition="0">
        <references count="2">
          <reference field="4294967294" count="1" selected="0">
            <x v="0"/>
          </reference>
          <reference field="3" count="1" selected="0">
            <x v="6"/>
          </reference>
        </references>
      </pivotArea>
    </chartFormat>
    <chartFormat chart="9" format="15" series="1">
      <pivotArea type="data" outline="0" fieldPosition="0">
        <references count="2">
          <reference field="4294967294" count="1" selected="0">
            <x v="0"/>
          </reference>
          <reference field="3" count="1" selected="0">
            <x v="7"/>
          </reference>
        </references>
      </pivotArea>
    </chartFormat>
    <chartFormat chart="11" format="24" series="1">
      <pivotArea type="data" outline="0" fieldPosition="0">
        <references count="2">
          <reference field="4294967294" count="1" selected="0">
            <x v="0"/>
          </reference>
          <reference field="3" count="1" selected="0">
            <x v="0"/>
          </reference>
        </references>
      </pivotArea>
    </chartFormat>
    <chartFormat chart="11" format="25" series="1">
      <pivotArea type="data" outline="0" fieldPosition="0">
        <references count="2">
          <reference field="4294967294" count="1" selected="0">
            <x v="0"/>
          </reference>
          <reference field="3" count="1" selected="0">
            <x v="1"/>
          </reference>
        </references>
      </pivotArea>
    </chartFormat>
    <chartFormat chart="11" format="26" series="1">
      <pivotArea type="data" outline="0" fieldPosition="0">
        <references count="2">
          <reference field="4294967294" count="1" selected="0">
            <x v="0"/>
          </reference>
          <reference field="3" count="1" selected="0">
            <x v="2"/>
          </reference>
        </references>
      </pivotArea>
    </chartFormat>
    <chartFormat chart="11" format="27" series="1">
      <pivotArea type="data" outline="0" fieldPosition="0">
        <references count="2">
          <reference field="4294967294" count="1" selected="0">
            <x v="0"/>
          </reference>
          <reference field="3" count="1" selected="0">
            <x v="3"/>
          </reference>
        </references>
      </pivotArea>
    </chartFormat>
    <chartFormat chart="11" format="28" series="1">
      <pivotArea type="data" outline="0" fieldPosition="0">
        <references count="2">
          <reference field="4294967294" count="1" selected="0">
            <x v="0"/>
          </reference>
          <reference field="3" count="1" selected="0">
            <x v="4"/>
          </reference>
        </references>
      </pivotArea>
    </chartFormat>
    <chartFormat chart="11" format="29" series="1">
      <pivotArea type="data" outline="0" fieldPosition="0">
        <references count="2">
          <reference field="4294967294" count="1" selected="0">
            <x v="0"/>
          </reference>
          <reference field="3" count="1" selected="0">
            <x v="5"/>
          </reference>
        </references>
      </pivotArea>
    </chartFormat>
    <chartFormat chart="11" format="30" series="1">
      <pivotArea type="data" outline="0" fieldPosition="0">
        <references count="2">
          <reference field="4294967294" count="1" selected="0">
            <x v="0"/>
          </reference>
          <reference field="3" count="1" selected="0">
            <x v="6"/>
          </reference>
        </references>
      </pivotArea>
    </chartFormat>
    <chartFormat chart="11" format="31" series="1">
      <pivotArea type="data" outline="0" fieldPosition="0">
        <references count="2">
          <reference field="4294967294" count="1" selected="0">
            <x v="0"/>
          </reference>
          <reference field="3" count="1" selected="0">
            <x v="7"/>
          </reference>
        </references>
      </pivotArea>
    </chartFormat>
    <chartFormat chart="11" format="32" series="1">
      <pivotArea type="data" outline="0" fieldPosition="0">
        <references count="1">
          <reference field="4294967294" count="1" selected="0">
            <x v="0"/>
          </reference>
        </references>
      </pivotArea>
    </chartFormat>
    <chartFormat chart="9" format="1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A124:B127" firstHeaderRow="1" firstDataRow="1" firstDataCol="1"/>
  <pivotFields count="11">
    <pivotField numFmtId="14" showAll="0"/>
    <pivotField showAll="0"/>
    <pivotField showAll="0"/>
    <pivotField showAll="0">
      <items count="9">
        <item x="4"/>
        <item h="1" x="2"/>
        <item x="7"/>
        <item x="5"/>
        <item h="1" x="3"/>
        <item x="0"/>
        <item x="6"/>
        <item h="1" x="1"/>
        <item t="default"/>
      </items>
    </pivotField>
    <pivotField showAll="0"/>
    <pivotField showAll="0"/>
    <pivotField showAll="0"/>
    <pivotField dataField="1" showAll="0"/>
    <pivotField axis="axisRow" showAll="0">
      <items count="5">
        <item x="1"/>
        <item x="3"/>
        <item h="1" x="0"/>
        <item h="1" x="2"/>
        <item t="default"/>
      </items>
    </pivotField>
    <pivotField showAll="0"/>
    <pivotField showAll="0"/>
  </pivotFields>
  <rowFields count="1">
    <field x="8"/>
  </rowFields>
  <rowItems count="3">
    <i>
      <x/>
    </i>
    <i>
      <x v="1"/>
    </i>
    <i t="grand">
      <x/>
    </i>
  </rowItems>
  <colItems count="1">
    <i/>
  </colItems>
  <dataFields count="1">
    <dataField name="Sum of Total_Amount" fld="7" baseField="0" baseItem="0"/>
  </dataFields>
  <chartFormats count="2">
    <chartFormat chart="8"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7">
  <location ref="A108:B116" firstHeaderRow="1" firstDataRow="1" firstDataCol="1"/>
  <pivotFields count="11">
    <pivotField numFmtId="164" showAll="0"/>
    <pivotField showAll="0"/>
    <pivotField showAll="0"/>
    <pivotField showAll="0">
      <items count="9">
        <item x="4"/>
        <item h="1" x="2"/>
        <item x="7"/>
        <item x="5"/>
        <item h="1" x="3"/>
        <item x="0"/>
        <item x="6"/>
        <item h="1" x="1"/>
        <item t="default"/>
      </items>
    </pivotField>
    <pivotField showAll="0"/>
    <pivotField showAll="0"/>
    <pivotField showAll="0"/>
    <pivotField dataField="1" showAll="0"/>
    <pivotField showAll="0">
      <items count="5">
        <item x="1"/>
        <item x="3"/>
        <item h="1" x="0"/>
        <item h="1" x="2"/>
        <item t="default"/>
      </items>
    </pivotField>
    <pivotField axis="axisRow" showAll="0" sortType="descending">
      <items count="8">
        <item x="5"/>
        <item x="1"/>
        <item x="3"/>
        <item x="0"/>
        <item x="6"/>
        <item x="4"/>
        <item x="2"/>
        <item t="default"/>
      </items>
      <autoSortScope>
        <pivotArea dataOnly="0" outline="0" fieldPosition="0">
          <references count="1">
            <reference field="4294967294" count="1" selected="0">
              <x v="0"/>
            </reference>
          </references>
        </pivotArea>
      </autoSortScope>
    </pivotField>
    <pivotField showAll="0" defaultSubtotal="0"/>
  </pivotFields>
  <rowFields count="1">
    <field x="9"/>
  </rowFields>
  <rowItems count="8">
    <i>
      <x v="5"/>
    </i>
    <i>
      <x v="3"/>
    </i>
    <i>
      <x v="2"/>
    </i>
    <i>
      <x v="4"/>
    </i>
    <i>
      <x v="6"/>
    </i>
    <i>
      <x v="1"/>
    </i>
    <i>
      <x/>
    </i>
    <i t="grand">
      <x/>
    </i>
  </rowItems>
  <colItems count="1">
    <i/>
  </colItems>
  <dataFields count="1">
    <dataField name="Sum of Total_Amount" fld="7" baseField="0" baseItem="0"/>
  </dataFields>
  <chartFormats count="2">
    <chartFormat chart="24" format="1" series="1">
      <pivotArea type="data" outline="0" fieldPosition="0">
        <references count="1">
          <reference field="4294967294" count="1" selected="0">
            <x v="0"/>
          </reference>
        </references>
      </pivotArea>
    </chartFormat>
    <chartFormat chart="2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3" name="PivotTable8"/>
    <pivotTable tabId="3" name="PivotTable1"/>
    <pivotTable tabId="3" name="PivotTable10"/>
    <pivotTable tabId="3" name="PivotTable11"/>
    <pivotTable tabId="3" name="PivotTable2"/>
    <pivotTable tabId="3" name="PivotTable3"/>
    <pivotTable tabId="3" name="PivotTable4"/>
    <pivotTable tabId="3" name="PivotTable5"/>
    <pivotTable tabId="3" name="PivotTable6"/>
    <pivotTable tabId="3" name="PivotTable7"/>
  </pivotTables>
  <data>
    <tabular pivotCacheId="1">
      <items count="8">
        <i x="4" s="1"/>
        <i x="2"/>
        <i x="7" s="1"/>
        <i x="5" s="1"/>
        <i x="3"/>
        <i x="0" s="1"/>
        <i x="6"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3" name="PivotTable8"/>
    <pivotTable tabId="3" name="PivotTable1"/>
    <pivotTable tabId="3" name="PivotTable10"/>
    <pivotTable tabId="3" name="PivotTable11"/>
    <pivotTable tabId="3" name="PivotTable2"/>
    <pivotTable tabId="3" name="PivotTable3"/>
    <pivotTable tabId="3" name="PivotTable4"/>
    <pivotTable tabId="3" name="PivotTable5"/>
    <pivotTable tabId="3" name="PivotTable6"/>
    <pivotTable tabId="3" name="PivotTable7"/>
  </pivotTables>
  <data>
    <tabular pivotCacheId="1">
      <items count="4">
        <i x="1" s="1"/>
        <i x="3" s="1"/>
        <i x="0"/>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startItem="1" rowHeight="234950"/>
  <slicer name="Month" cache="Slicer_Month" caption="Month"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Category 2" cache="Slicer_Category" caption="Category" rowHeight="234950"/>
  <slicer name="Month 1" cache="Slicer_Month" caption="Month" rowHeight="234950"/>
</slicers>
</file>

<file path=xl/tables/table1.xml><?xml version="1.0" encoding="utf-8"?>
<table xmlns="http://schemas.openxmlformats.org/spreadsheetml/2006/main" id="1" name="Table1" displayName="Table1" ref="A1:K201" totalsRowShown="0">
  <autoFilter ref="A1:K201"/>
  <tableColumns count="11">
    <tableColumn id="1" name="Date" dataDxfId="12"/>
    <tableColumn id="2" name="Bill_No"/>
    <tableColumn id="3" name="Product_Name"/>
    <tableColumn id="4" name="Category"/>
    <tableColumn id="5" name="Quantity"/>
    <tableColumn id="6" name="Unit_Price"/>
    <tableColumn id="7" name="Payment_Mode"/>
    <tableColumn id="8" name="Total_Amount"/>
    <tableColumn id="9" name="Month"/>
    <tableColumn id="10" name="Day_Name"/>
    <tableColumn id="11" name="Bill_Category" dataDxfId="11">
      <calculatedColumnFormula>IF(H2&lt;=100,"Low",IF(H2&lt;=500,"Medium","High"))</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2.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1"/>
  <sheetViews>
    <sheetView zoomScale="70" zoomScaleNormal="70" workbookViewId="0">
      <selection activeCell="C17" sqref="C17"/>
    </sheetView>
  </sheetViews>
  <sheetFormatPr defaultRowHeight="14.4" x14ac:dyDescent="0.3"/>
  <cols>
    <col min="1" max="1" width="11.6640625" style="12" customWidth="1"/>
    <col min="2" max="2" width="13.21875" customWidth="1"/>
    <col min="3" max="3" width="18.77734375" customWidth="1"/>
    <col min="4" max="4" width="14.5546875" customWidth="1"/>
    <col min="5" max="5" width="13.109375" customWidth="1"/>
    <col min="6" max="6" width="15.5546875" customWidth="1"/>
    <col min="7" max="7" width="18.77734375" customWidth="1"/>
    <col min="8" max="8" width="17.88671875" customWidth="1"/>
    <col min="9" max="9" width="10.44140625" customWidth="1"/>
    <col min="10" max="10" width="15" customWidth="1"/>
    <col min="11" max="11" width="19.77734375" customWidth="1"/>
  </cols>
  <sheetData>
    <row r="1" spans="1:11" x14ac:dyDescent="0.3">
      <c r="A1" s="13" t="s">
        <v>0</v>
      </c>
      <c r="B1" t="s">
        <v>1</v>
      </c>
      <c r="C1" t="s">
        <v>2</v>
      </c>
      <c r="D1" t="s">
        <v>3</v>
      </c>
      <c r="E1" t="s">
        <v>4</v>
      </c>
      <c r="F1" t="s">
        <v>5</v>
      </c>
      <c r="G1" t="s">
        <v>6</v>
      </c>
      <c r="H1" t="s">
        <v>7</v>
      </c>
      <c r="I1" t="s">
        <v>8</v>
      </c>
      <c r="J1" t="s">
        <v>9</v>
      </c>
      <c r="K1" t="s">
        <v>301</v>
      </c>
    </row>
    <row r="2" spans="1:11" x14ac:dyDescent="0.3">
      <c r="A2" s="12">
        <v>45728</v>
      </c>
      <c r="B2" t="s">
        <v>10</v>
      </c>
      <c r="C2" t="s">
        <v>11</v>
      </c>
      <c r="D2" t="s">
        <v>12</v>
      </c>
      <c r="E2">
        <v>4</v>
      </c>
      <c r="F2">
        <v>6</v>
      </c>
      <c r="G2" t="s">
        <v>13</v>
      </c>
      <c r="H2">
        <v>24</v>
      </c>
      <c r="I2" t="s">
        <v>14</v>
      </c>
      <c r="J2" t="s">
        <v>15</v>
      </c>
      <c r="K2" t="str">
        <f>IF(H2&lt;=100,"Low",IF(H2&lt;=500,"Medium","High"))</f>
        <v>Low</v>
      </c>
    </row>
    <row r="3" spans="1:11" x14ac:dyDescent="0.3">
      <c r="A3" s="12">
        <v>45740</v>
      </c>
      <c r="B3" t="s">
        <v>16</v>
      </c>
      <c r="C3" t="s">
        <v>17</v>
      </c>
      <c r="D3" t="s">
        <v>18</v>
      </c>
      <c r="E3">
        <v>1</v>
      </c>
      <c r="F3">
        <v>30</v>
      </c>
      <c r="G3" t="s">
        <v>19</v>
      </c>
      <c r="H3">
        <v>30</v>
      </c>
      <c r="I3" t="s">
        <v>14</v>
      </c>
      <c r="J3" t="s">
        <v>20</v>
      </c>
      <c r="K3" t="str">
        <f t="shared" ref="K3:K66" si="0">IF(H3&lt;=100,"Low",IF(H3&lt;=500,"Medium","High"))</f>
        <v>Low</v>
      </c>
    </row>
    <row r="4" spans="1:11" x14ac:dyDescent="0.3">
      <c r="A4" s="12">
        <v>45717</v>
      </c>
      <c r="B4" t="s">
        <v>21</v>
      </c>
      <c r="C4" t="s">
        <v>22</v>
      </c>
      <c r="D4" t="s">
        <v>12</v>
      </c>
      <c r="E4">
        <v>8</v>
      </c>
      <c r="F4">
        <v>260</v>
      </c>
      <c r="G4" t="s">
        <v>23</v>
      </c>
      <c r="H4">
        <v>2080</v>
      </c>
      <c r="I4" t="s">
        <v>14</v>
      </c>
      <c r="J4" t="s">
        <v>24</v>
      </c>
      <c r="K4" t="str">
        <f t="shared" si="0"/>
        <v>High</v>
      </c>
    </row>
    <row r="5" spans="1:11" x14ac:dyDescent="0.3">
      <c r="A5" s="12">
        <v>45663</v>
      </c>
      <c r="B5" t="s">
        <v>25</v>
      </c>
      <c r="C5" t="s">
        <v>26</v>
      </c>
      <c r="D5" t="s">
        <v>27</v>
      </c>
      <c r="E5">
        <v>3</v>
      </c>
      <c r="F5">
        <v>60</v>
      </c>
      <c r="G5" t="s">
        <v>23</v>
      </c>
      <c r="H5">
        <v>180</v>
      </c>
      <c r="I5" t="s">
        <v>28</v>
      </c>
      <c r="J5" t="s">
        <v>20</v>
      </c>
      <c r="K5" t="str">
        <f t="shared" si="0"/>
        <v>Medium</v>
      </c>
    </row>
    <row r="6" spans="1:11" x14ac:dyDescent="0.3">
      <c r="A6" s="12">
        <v>45748</v>
      </c>
      <c r="B6" t="s">
        <v>29</v>
      </c>
      <c r="C6" t="s">
        <v>22</v>
      </c>
      <c r="D6" t="s">
        <v>12</v>
      </c>
      <c r="E6">
        <v>8</v>
      </c>
      <c r="F6">
        <v>260</v>
      </c>
      <c r="G6" t="s">
        <v>23</v>
      </c>
      <c r="H6">
        <v>2080</v>
      </c>
      <c r="I6" t="s">
        <v>30</v>
      </c>
      <c r="J6" t="s">
        <v>31</v>
      </c>
      <c r="K6" t="str">
        <f t="shared" si="0"/>
        <v>High</v>
      </c>
    </row>
    <row r="7" spans="1:11" x14ac:dyDescent="0.3">
      <c r="A7" s="12">
        <v>45709</v>
      </c>
      <c r="B7" t="s">
        <v>32</v>
      </c>
      <c r="C7" t="s">
        <v>33</v>
      </c>
      <c r="D7" t="s">
        <v>34</v>
      </c>
      <c r="E7">
        <v>8</v>
      </c>
      <c r="F7">
        <v>55</v>
      </c>
      <c r="G7" t="s">
        <v>13</v>
      </c>
      <c r="H7">
        <v>440</v>
      </c>
      <c r="I7" t="s">
        <v>35</v>
      </c>
      <c r="J7" t="s">
        <v>36</v>
      </c>
      <c r="K7" t="str">
        <f t="shared" si="0"/>
        <v>Medium</v>
      </c>
    </row>
    <row r="8" spans="1:11" x14ac:dyDescent="0.3">
      <c r="A8" s="12">
        <v>45710</v>
      </c>
      <c r="B8" t="s">
        <v>37</v>
      </c>
      <c r="C8" t="s">
        <v>17</v>
      </c>
      <c r="D8" t="s">
        <v>18</v>
      </c>
      <c r="E8">
        <v>4</v>
      </c>
      <c r="F8">
        <v>30</v>
      </c>
      <c r="G8" t="s">
        <v>23</v>
      </c>
      <c r="H8">
        <v>120</v>
      </c>
      <c r="I8" t="s">
        <v>35</v>
      </c>
      <c r="J8" t="s">
        <v>24</v>
      </c>
      <c r="K8" t="str">
        <f t="shared" si="0"/>
        <v>Medium</v>
      </c>
    </row>
    <row r="9" spans="1:11" x14ac:dyDescent="0.3">
      <c r="A9" s="12">
        <v>45737</v>
      </c>
      <c r="B9" t="s">
        <v>38</v>
      </c>
      <c r="C9" t="s">
        <v>39</v>
      </c>
      <c r="D9" t="s">
        <v>12</v>
      </c>
      <c r="E9">
        <v>10</v>
      </c>
      <c r="F9">
        <v>300</v>
      </c>
      <c r="G9" t="s">
        <v>19</v>
      </c>
      <c r="H9">
        <v>3000</v>
      </c>
      <c r="I9" t="s">
        <v>14</v>
      </c>
      <c r="J9" t="s">
        <v>36</v>
      </c>
      <c r="K9" t="str">
        <f t="shared" si="0"/>
        <v>High</v>
      </c>
    </row>
    <row r="10" spans="1:11" x14ac:dyDescent="0.3">
      <c r="A10" s="12">
        <v>45667</v>
      </c>
      <c r="B10" t="s">
        <v>40</v>
      </c>
      <c r="C10" t="s">
        <v>39</v>
      </c>
      <c r="D10" t="s">
        <v>12</v>
      </c>
      <c r="E10">
        <v>1</v>
      </c>
      <c r="F10">
        <v>300</v>
      </c>
      <c r="G10" t="s">
        <v>13</v>
      </c>
      <c r="H10">
        <v>300</v>
      </c>
      <c r="I10" t="s">
        <v>28</v>
      </c>
      <c r="J10" t="s">
        <v>36</v>
      </c>
      <c r="K10" t="str">
        <f t="shared" si="0"/>
        <v>Medium</v>
      </c>
    </row>
    <row r="11" spans="1:11" x14ac:dyDescent="0.3">
      <c r="A11" s="12">
        <v>45726</v>
      </c>
      <c r="B11" t="s">
        <v>41</v>
      </c>
      <c r="C11" t="s">
        <v>42</v>
      </c>
      <c r="D11" t="s">
        <v>43</v>
      </c>
      <c r="E11">
        <v>5</v>
      </c>
      <c r="F11">
        <v>40</v>
      </c>
      <c r="G11" t="s">
        <v>23</v>
      </c>
      <c r="H11">
        <v>200</v>
      </c>
      <c r="I11" t="s">
        <v>14</v>
      </c>
      <c r="J11" t="s">
        <v>20</v>
      </c>
      <c r="K11" t="str">
        <f t="shared" si="0"/>
        <v>Medium</v>
      </c>
    </row>
    <row r="12" spans="1:11" x14ac:dyDescent="0.3">
      <c r="A12" s="12">
        <v>45725</v>
      </c>
      <c r="B12" t="s">
        <v>44</v>
      </c>
      <c r="C12" t="s">
        <v>17</v>
      </c>
      <c r="D12" t="s">
        <v>18</v>
      </c>
      <c r="E12">
        <v>9</v>
      </c>
      <c r="F12">
        <v>30</v>
      </c>
      <c r="G12" t="s">
        <v>19</v>
      </c>
      <c r="H12">
        <v>270</v>
      </c>
      <c r="I12" t="s">
        <v>14</v>
      </c>
      <c r="J12" t="s">
        <v>45</v>
      </c>
      <c r="K12" t="str">
        <f t="shared" si="0"/>
        <v>Medium</v>
      </c>
    </row>
    <row r="13" spans="1:11" x14ac:dyDescent="0.3">
      <c r="A13" s="12">
        <v>45681</v>
      </c>
      <c r="B13" t="s">
        <v>46</v>
      </c>
      <c r="C13" t="s">
        <v>47</v>
      </c>
      <c r="D13" t="s">
        <v>48</v>
      </c>
      <c r="E13">
        <v>7</v>
      </c>
      <c r="F13">
        <v>120</v>
      </c>
      <c r="G13" t="s">
        <v>23</v>
      </c>
      <c r="H13">
        <v>840</v>
      </c>
      <c r="I13" t="s">
        <v>28</v>
      </c>
      <c r="J13" t="s">
        <v>36</v>
      </c>
      <c r="K13" t="str">
        <f t="shared" si="0"/>
        <v>High</v>
      </c>
    </row>
    <row r="14" spans="1:11" x14ac:dyDescent="0.3">
      <c r="A14" s="12">
        <v>45709</v>
      </c>
      <c r="B14" t="s">
        <v>49</v>
      </c>
      <c r="C14" t="s">
        <v>17</v>
      </c>
      <c r="D14" t="s">
        <v>18</v>
      </c>
      <c r="E14">
        <v>2</v>
      </c>
      <c r="F14">
        <v>30</v>
      </c>
      <c r="G14" t="s">
        <v>13</v>
      </c>
      <c r="H14">
        <v>60</v>
      </c>
      <c r="I14" t="s">
        <v>35</v>
      </c>
      <c r="J14" t="s">
        <v>36</v>
      </c>
      <c r="K14" t="str">
        <f t="shared" si="0"/>
        <v>Low</v>
      </c>
    </row>
    <row r="15" spans="1:11" x14ac:dyDescent="0.3">
      <c r="A15" s="12">
        <v>45665</v>
      </c>
      <c r="B15" t="s">
        <v>50</v>
      </c>
      <c r="C15" t="s">
        <v>42</v>
      </c>
      <c r="D15" t="s">
        <v>43</v>
      </c>
      <c r="E15">
        <v>10</v>
      </c>
      <c r="F15">
        <v>40</v>
      </c>
      <c r="G15" t="s">
        <v>23</v>
      </c>
      <c r="H15">
        <v>400</v>
      </c>
      <c r="I15" t="s">
        <v>28</v>
      </c>
      <c r="J15" t="s">
        <v>15</v>
      </c>
      <c r="K15" t="str">
        <f t="shared" si="0"/>
        <v>Medium</v>
      </c>
    </row>
    <row r="16" spans="1:11" x14ac:dyDescent="0.3">
      <c r="A16" s="12">
        <v>45699</v>
      </c>
      <c r="B16" t="s">
        <v>51</v>
      </c>
      <c r="C16" t="s">
        <v>52</v>
      </c>
      <c r="D16" t="s">
        <v>27</v>
      </c>
      <c r="E16">
        <v>8</v>
      </c>
      <c r="F16">
        <v>80</v>
      </c>
      <c r="G16" t="s">
        <v>19</v>
      </c>
      <c r="H16">
        <v>640</v>
      </c>
      <c r="I16" t="s">
        <v>35</v>
      </c>
      <c r="J16" t="s">
        <v>31</v>
      </c>
      <c r="K16" t="str">
        <f t="shared" si="0"/>
        <v>High</v>
      </c>
    </row>
    <row r="17" spans="1:11" x14ac:dyDescent="0.3">
      <c r="A17" s="12">
        <v>45720</v>
      </c>
      <c r="B17" t="s">
        <v>53</v>
      </c>
      <c r="C17" t="s">
        <v>11</v>
      </c>
      <c r="D17" t="s">
        <v>12</v>
      </c>
      <c r="E17">
        <v>3</v>
      </c>
      <c r="F17">
        <v>6</v>
      </c>
      <c r="G17" t="s">
        <v>23</v>
      </c>
      <c r="H17">
        <v>18</v>
      </c>
      <c r="I17" t="s">
        <v>14</v>
      </c>
      <c r="J17" t="s">
        <v>31</v>
      </c>
      <c r="K17" t="str">
        <f t="shared" si="0"/>
        <v>Low</v>
      </c>
    </row>
    <row r="18" spans="1:11" x14ac:dyDescent="0.3">
      <c r="A18" s="12">
        <v>45663</v>
      </c>
      <c r="B18" t="s">
        <v>54</v>
      </c>
      <c r="C18" t="s">
        <v>17</v>
      </c>
      <c r="D18" t="s">
        <v>18</v>
      </c>
      <c r="E18">
        <v>10</v>
      </c>
      <c r="F18">
        <v>30</v>
      </c>
      <c r="G18" t="s">
        <v>13</v>
      </c>
      <c r="H18">
        <v>300</v>
      </c>
      <c r="I18" t="s">
        <v>28</v>
      </c>
      <c r="J18" t="s">
        <v>20</v>
      </c>
      <c r="K18" t="str">
        <f t="shared" si="0"/>
        <v>Medium</v>
      </c>
    </row>
    <row r="19" spans="1:11" x14ac:dyDescent="0.3">
      <c r="A19" s="12">
        <v>45722</v>
      </c>
      <c r="B19" t="s">
        <v>55</v>
      </c>
      <c r="C19" t="s">
        <v>47</v>
      </c>
      <c r="D19" t="s">
        <v>48</v>
      </c>
      <c r="E19">
        <v>9</v>
      </c>
      <c r="F19">
        <v>120</v>
      </c>
      <c r="G19" t="s">
        <v>19</v>
      </c>
      <c r="H19">
        <v>1080</v>
      </c>
      <c r="I19" t="s">
        <v>14</v>
      </c>
      <c r="J19" t="s">
        <v>56</v>
      </c>
      <c r="K19" t="str">
        <f t="shared" si="0"/>
        <v>High</v>
      </c>
    </row>
    <row r="20" spans="1:11" x14ac:dyDescent="0.3">
      <c r="A20" s="12">
        <v>45679</v>
      </c>
      <c r="B20" t="s">
        <v>57</v>
      </c>
      <c r="C20" t="s">
        <v>33</v>
      </c>
      <c r="D20" t="s">
        <v>34</v>
      </c>
      <c r="E20">
        <v>7</v>
      </c>
      <c r="F20">
        <v>55</v>
      </c>
      <c r="G20" t="s">
        <v>13</v>
      </c>
      <c r="H20">
        <v>385</v>
      </c>
      <c r="I20" t="s">
        <v>28</v>
      </c>
      <c r="J20" t="s">
        <v>15</v>
      </c>
      <c r="K20" t="str">
        <f t="shared" si="0"/>
        <v>Medium</v>
      </c>
    </row>
    <row r="21" spans="1:11" x14ac:dyDescent="0.3">
      <c r="A21" s="12">
        <v>45740</v>
      </c>
      <c r="B21" t="s">
        <v>58</v>
      </c>
      <c r="C21" t="s">
        <v>59</v>
      </c>
      <c r="D21" t="s">
        <v>34</v>
      </c>
      <c r="E21">
        <v>10</v>
      </c>
      <c r="F21">
        <v>45</v>
      </c>
      <c r="G21" t="s">
        <v>19</v>
      </c>
      <c r="H21">
        <v>450</v>
      </c>
      <c r="I21" t="s">
        <v>14</v>
      </c>
      <c r="J21" t="s">
        <v>20</v>
      </c>
      <c r="K21" t="str">
        <f t="shared" si="0"/>
        <v>Medium</v>
      </c>
    </row>
    <row r="22" spans="1:11" x14ac:dyDescent="0.3">
      <c r="A22" s="12">
        <v>45688</v>
      </c>
      <c r="B22" t="s">
        <v>60</v>
      </c>
      <c r="C22" t="s">
        <v>42</v>
      </c>
      <c r="D22" t="s">
        <v>43</v>
      </c>
      <c r="E22">
        <v>3</v>
      </c>
      <c r="F22">
        <v>40</v>
      </c>
      <c r="G22" t="s">
        <v>23</v>
      </c>
      <c r="H22">
        <v>120</v>
      </c>
      <c r="I22" t="s">
        <v>28</v>
      </c>
      <c r="J22" t="s">
        <v>36</v>
      </c>
      <c r="K22" t="str">
        <f t="shared" si="0"/>
        <v>Medium</v>
      </c>
    </row>
    <row r="23" spans="1:11" x14ac:dyDescent="0.3">
      <c r="A23" s="12">
        <v>45704</v>
      </c>
      <c r="B23" t="s">
        <v>61</v>
      </c>
      <c r="C23" t="s">
        <v>59</v>
      </c>
      <c r="D23" t="s">
        <v>34</v>
      </c>
      <c r="E23">
        <v>8</v>
      </c>
      <c r="F23">
        <v>45</v>
      </c>
      <c r="G23" t="s">
        <v>23</v>
      </c>
      <c r="H23">
        <v>360</v>
      </c>
      <c r="I23" t="s">
        <v>35</v>
      </c>
      <c r="J23" t="s">
        <v>45</v>
      </c>
      <c r="K23" t="str">
        <f t="shared" si="0"/>
        <v>Medium</v>
      </c>
    </row>
    <row r="24" spans="1:11" x14ac:dyDescent="0.3">
      <c r="A24" s="12">
        <v>45747</v>
      </c>
      <c r="B24" t="s">
        <v>62</v>
      </c>
      <c r="C24" t="s">
        <v>63</v>
      </c>
      <c r="D24" t="s">
        <v>64</v>
      </c>
      <c r="E24">
        <v>5</v>
      </c>
      <c r="F24">
        <v>90</v>
      </c>
      <c r="G24" t="s">
        <v>23</v>
      </c>
      <c r="H24">
        <v>450</v>
      </c>
      <c r="I24" t="s">
        <v>14</v>
      </c>
      <c r="J24" t="s">
        <v>20</v>
      </c>
      <c r="K24" t="str">
        <f t="shared" si="0"/>
        <v>Medium</v>
      </c>
    </row>
    <row r="25" spans="1:11" x14ac:dyDescent="0.3">
      <c r="A25" s="12">
        <v>45722</v>
      </c>
      <c r="B25" t="s">
        <v>65</v>
      </c>
      <c r="C25" t="s">
        <v>22</v>
      </c>
      <c r="D25" t="s">
        <v>12</v>
      </c>
      <c r="E25">
        <v>7</v>
      </c>
      <c r="F25">
        <v>260</v>
      </c>
      <c r="G25" t="s">
        <v>23</v>
      </c>
      <c r="H25">
        <v>1820</v>
      </c>
      <c r="I25" t="s">
        <v>14</v>
      </c>
      <c r="J25" t="s">
        <v>56</v>
      </c>
      <c r="K25" t="str">
        <f t="shared" si="0"/>
        <v>High</v>
      </c>
    </row>
    <row r="26" spans="1:11" x14ac:dyDescent="0.3">
      <c r="A26" s="12">
        <v>45685</v>
      </c>
      <c r="B26" t="s">
        <v>66</v>
      </c>
      <c r="C26" t="s">
        <v>33</v>
      </c>
      <c r="D26" t="s">
        <v>34</v>
      </c>
      <c r="E26">
        <v>10</v>
      </c>
      <c r="F26">
        <v>55</v>
      </c>
      <c r="G26" t="s">
        <v>23</v>
      </c>
      <c r="H26">
        <v>550</v>
      </c>
      <c r="I26" t="s">
        <v>28</v>
      </c>
      <c r="J26" t="s">
        <v>31</v>
      </c>
      <c r="K26" t="str">
        <f t="shared" si="0"/>
        <v>High</v>
      </c>
    </row>
    <row r="27" spans="1:11" x14ac:dyDescent="0.3">
      <c r="A27" s="12">
        <v>45666</v>
      </c>
      <c r="B27" t="s">
        <v>67</v>
      </c>
      <c r="C27" t="s">
        <v>68</v>
      </c>
      <c r="D27" t="s">
        <v>69</v>
      </c>
      <c r="E27">
        <v>9</v>
      </c>
      <c r="F27">
        <v>70</v>
      </c>
      <c r="G27" t="s">
        <v>23</v>
      </c>
      <c r="H27">
        <v>630</v>
      </c>
      <c r="I27" t="s">
        <v>28</v>
      </c>
      <c r="J27" t="s">
        <v>56</v>
      </c>
      <c r="K27" t="str">
        <f t="shared" si="0"/>
        <v>High</v>
      </c>
    </row>
    <row r="28" spans="1:11" x14ac:dyDescent="0.3">
      <c r="A28" s="12">
        <v>45695</v>
      </c>
      <c r="B28" t="s">
        <v>70</v>
      </c>
      <c r="C28" t="s">
        <v>71</v>
      </c>
      <c r="D28" t="s">
        <v>18</v>
      </c>
      <c r="E28">
        <v>4</v>
      </c>
      <c r="F28">
        <v>35</v>
      </c>
      <c r="G28" t="s">
        <v>19</v>
      </c>
      <c r="H28">
        <v>140</v>
      </c>
      <c r="I28" t="s">
        <v>35</v>
      </c>
      <c r="J28" t="s">
        <v>36</v>
      </c>
      <c r="K28" t="str">
        <f t="shared" si="0"/>
        <v>Medium</v>
      </c>
    </row>
    <row r="29" spans="1:11" x14ac:dyDescent="0.3">
      <c r="A29" s="12">
        <v>45702</v>
      </c>
      <c r="B29" t="s">
        <v>72</v>
      </c>
      <c r="C29" t="s">
        <v>22</v>
      </c>
      <c r="D29" t="s">
        <v>12</v>
      </c>
      <c r="E29">
        <v>8</v>
      </c>
      <c r="F29">
        <v>260</v>
      </c>
      <c r="G29" t="s">
        <v>13</v>
      </c>
      <c r="H29">
        <v>2080</v>
      </c>
      <c r="I29" t="s">
        <v>35</v>
      </c>
      <c r="J29" t="s">
        <v>36</v>
      </c>
      <c r="K29" t="str">
        <f t="shared" si="0"/>
        <v>High</v>
      </c>
    </row>
    <row r="30" spans="1:11" x14ac:dyDescent="0.3">
      <c r="A30" s="12">
        <v>45658</v>
      </c>
      <c r="B30" t="s">
        <v>73</v>
      </c>
      <c r="C30" t="s">
        <v>63</v>
      </c>
      <c r="D30" t="s">
        <v>64</v>
      </c>
      <c r="E30">
        <v>2</v>
      </c>
      <c r="F30">
        <v>90</v>
      </c>
      <c r="G30" t="s">
        <v>13</v>
      </c>
      <c r="H30">
        <v>180</v>
      </c>
      <c r="I30" t="s">
        <v>28</v>
      </c>
      <c r="J30" t="s">
        <v>15</v>
      </c>
      <c r="K30" t="str">
        <f t="shared" si="0"/>
        <v>Medium</v>
      </c>
    </row>
    <row r="31" spans="1:11" x14ac:dyDescent="0.3">
      <c r="A31" s="12">
        <v>45697</v>
      </c>
      <c r="B31" t="s">
        <v>74</v>
      </c>
      <c r="C31" t="s">
        <v>26</v>
      </c>
      <c r="D31" t="s">
        <v>27</v>
      </c>
      <c r="E31">
        <v>10</v>
      </c>
      <c r="F31">
        <v>60</v>
      </c>
      <c r="G31" t="s">
        <v>13</v>
      </c>
      <c r="H31">
        <v>600</v>
      </c>
      <c r="I31" t="s">
        <v>35</v>
      </c>
      <c r="J31" t="s">
        <v>45</v>
      </c>
      <c r="K31" t="str">
        <f t="shared" si="0"/>
        <v>High</v>
      </c>
    </row>
    <row r="32" spans="1:11" x14ac:dyDescent="0.3">
      <c r="A32" s="12">
        <v>45663</v>
      </c>
      <c r="B32" t="s">
        <v>75</v>
      </c>
      <c r="C32" t="s">
        <v>42</v>
      </c>
      <c r="D32" t="s">
        <v>43</v>
      </c>
      <c r="E32">
        <v>5</v>
      </c>
      <c r="F32">
        <v>40</v>
      </c>
      <c r="G32" t="s">
        <v>23</v>
      </c>
      <c r="H32">
        <v>200</v>
      </c>
      <c r="I32" t="s">
        <v>28</v>
      </c>
      <c r="J32" t="s">
        <v>20</v>
      </c>
      <c r="K32" t="str">
        <f t="shared" si="0"/>
        <v>Medium</v>
      </c>
    </row>
    <row r="33" spans="1:11" x14ac:dyDescent="0.3">
      <c r="A33" s="12">
        <v>45693</v>
      </c>
      <c r="B33" t="s">
        <v>76</v>
      </c>
      <c r="C33" t="s">
        <v>77</v>
      </c>
      <c r="D33" t="s">
        <v>69</v>
      </c>
      <c r="E33">
        <v>2</v>
      </c>
      <c r="F33">
        <v>150</v>
      </c>
      <c r="G33" t="s">
        <v>19</v>
      </c>
      <c r="H33">
        <v>300</v>
      </c>
      <c r="I33" t="s">
        <v>35</v>
      </c>
      <c r="J33" t="s">
        <v>15</v>
      </c>
      <c r="K33" t="str">
        <f t="shared" si="0"/>
        <v>Medium</v>
      </c>
    </row>
    <row r="34" spans="1:11" x14ac:dyDescent="0.3">
      <c r="A34" s="12">
        <v>45704</v>
      </c>
      <c r="B34" t="s">
        <v>78</v>
      </c>
      <c r="C34" t="s">
        <v>79</v>
      </c>
      <c r="D34" t="s">
        <v>64</v>
      </c>
      <c r="E34">
        <v>8</v>
      </c>
      <c r="F34">
        <v>20</v>
      </c>
      <c r="G34" t="s">
        <v>23</v>
      </c>
      <c r="H34">
        <v>160</v>
      </c>
      <c r="I34" t="s">
        <v>35</v>
      </c>
      <c r="J34" t="s">
        <v>45</v>
      </c>
      <c r="K34" t="str">
        <f t="shared" si="0"/>
        <v>Medium</v>
      </c>
    </row>
    <row r="35" spans="1:11" x14ac:dyDescent="0.3">
      <c r="A35" s="12">
        <v>45685</v>
      </c>
      <c r="B35" t="s">
        <v>80</v>
      </c>
      <c r="C35" t="s">
        <v>63</v>
      </c>
      <c r="D35" t="s">
        <v>64</v>
      </c>
      <c r="E35">
        <v>9</v>
      </c>
      <c r="F35">
        <v>90</v>
      </c>
      <c r="G35" t="s">
        <v>23</v>
      </c>
      <c r="H35">
        <v>810</v>
      </c>
      <c r="I35" t="s">
        <v>28</v>
      </c>
      <c r="J35" t="s">
        <v>31</v>
      </c>
      <c r="K35" t="str">
        <f t="shared" si="0"/>
        <v>High</v>
      </c>
    </row>
    <row r="36" spans="1:11" x14ac:dyDescent="0.3">
      <c r="A36" s="12">
        <v>45700</v>
      </c>
      <c r="B36" t="s">
        <v>81</v>
      </c>
      <c r="C36" t="s">
        <v>22</v>
      </c>
      <c r="D36" t="s">
        <v>12</v>
      </c>
      <c r="E36">
        <v>10</v>
      </c>
      <c r="F36">
        <v>260</v>
      </c>
      <c r="G36" t="s">
        <v>13</v>
      </c>
      <c r="H36">
        <v>2600</v>
      </c>
      <c r="I36" t="s">
        <v>35</v>
      </c>
      <c r="J36" t="s">
        <v>15</v>
      </c>
      <c r="K36" t="str">
        <f t="shared" si="0"/>
        <v>High</v>
      </c>
    </row>
    <row r="37" spans="1:11" x14ac:dyDescent="0.3">
      <c r="A37" s="12">
        <v>45709</v>
      </c>
      <c r="B37" t="s">
        <v>82</v>
      </c>
      <c r="C37" t="s">
        <v>33</v>
      </c>
      <c r="D37" t="s">
        <v>34</v>
      </c>
      <c r="E37">
        <v>10</v>
      </c>
      <c r="F37">
        <v>55</v>
      </c>
      <c r="G37" t="s">
        <v>13</v>
      </c>
      <c r="H37">
        <v>550</v>
      </c>
      <c r="I37" t="s">
        <v>35</v>
      </c>
      <c r="J37" t="s">
        <v>36</v>
      </c>
      <c r="K37" t="str">
        <f t="shared" si="0"/>
        <v>High</v>
      </c>
    </row>
    <row r="38" spans="1:11" x14ac:dyDescent="0.3">
      <c r="A38" s="12">
        <v>45713</v>
      </c>
      <c r="B38" t="s">
        <v>83</v>
      </c>
      <c r="C38" t="s">
        <v>39</v>
      </c>
      <c r="D38" t="s">
        <v>12</v>
      </c>
      <c r="E38">
        <v>1</v>
      </c>
      <c r="F38">
        <v>300</v>
      </c>
      <c r="G38" t="s">
        <v>23</v>
      </c>
      <c r="H38">
        <v>300</v>
      </c>
      <c r="I38" t="s">
        <v>35</v>
      </c>
      <c r="J38" t="s">
        <v>31</v>
      </c>
      <c r="K38" t="str">
        <f t="shared" si="0"/>
        <v>Medium</v>
      </c>
    </row>
    <row r="39" spans="1:11" x14ac:dyDescent="0.3">
      <c r="A39" s="12">
        <v>45718</v>
      </c>
      <c r="B39" t="s">
        <v>84</v>
      </c>
      <c r="C39" t="s">
        <v>77</v>
      </c>
      <c r="D39" t="s">
        <v>69</v>
      </c>
      <c r="E39">
        <v>1</v>
      </c>
      <c r="F39">
        <v>150</v>
      </c>
      <c r="G39" t="s">
        <v>23</v>
      </c>
      <c r="H39">
        <v>150</v>
      </c>
      <c r="I39" t="s">
        <v>14</v>
      </c>
      <c r="J39" t="s">
        <v>45</v>
      </c>
      <c r="K39" t="str">
        <f t="shared" si="0"/>
        <v>Medium</v>
      </c>
    </row>
    <row r="40" spans="1:11" x14ac:dyDescent="0.3">
      <c r="A40" s="12">
        <v>45736</v>
      </c>
      <c r="B40" t="s">
        <v>85</v>
      </c>
      <c r="C40" t="s">
        <v>71</v>
      </c>
      <c r="D40" t="s">
        <v>18</v>
      </c>
      <c r="E40">
        <v>2</v>
      </c>
      <c r="F40">
        <v>35</v>
      </c>
      <c r="G40" t="s">
        <v>13</v>
      </c>
      <c r="H40">
        <v>70</v>
      </c>
      <c r="I40" t="s">
        <v>14</v>
      </c>
      <c r="J40" t="s">
        <v>56</v>
      </c>
      <c r="K40" t="str">
        <f t="shared" si="0"/>
        <v>Low</v>
      </c>
    </row>
    <row r="41" spans="1:11" x14ac:dyDescent="0.3">
      <c r="A41" s="12">
        <v>45714</v>
      </c>
      <c r="B41" t="s">
        <v>86</v>
      </c>
      <c r="C41" t="s">
        <v>22</v>
      </c>
      <c r="D41" t="s">
        <v>12</v>
      </c>
      <c r="E41">
        <v>8</v>
      </c>
      <c r="F41">
        <v>260</v>
      </c>
      <c r="G41" t="s">
        <v>23</v>
      </c>
      <c r="H41">
        <v>2080</v>
      </c>
      <c r="I41" t="s">
        <v>35</v>
      </c>
      <c r="J41" t="s">
        <v>15</v>
      </c>
      <c r="K41" t="str">
        <f t="shared" si="0"/>
        <v>High</v>
      </c>
    </row>
    <row r="42" spans="1:11" x14ac:dyDescent="0.3">
      <c r="A42" s="12">
        <v>45725</v>
      </c>
      <c r="B42" t="s">
        <v>87</v>
      </c>
      <c r="C42" t="s">
        <v>88</v>
      </c>
      <c r="D42" t="s">
        <v>69</v>
      </c>
      <c r="E42">
        <v>10</v>
      </c>
      <c r="F42">
        <v>200</v>
      </c>
      <c r="G42" t="s">
        <v>23</v>
      </c>
      <c r="H42">
        <v>2000</v>
      </c>
      <c r="I42" t="s">
        <v>14</v>
      </c>
      <c r="J42" t="s">
        <v>45</v>
      </c>
      <c r="K42" t="str">
        <f t="shared" si="0"/>
        <v>High</v>
      </c>
    </row>
    <row r="43" spans="1:11" x14ac:dyDescent="0.3">
      <c r="A43" s="12">
        <v>45671</v>
      </c>
      <c r="B43" t="s">
        <v>89</v>
      </c>
      <c r="C43" t="s">
        <v>68</v>
      </c>
      <c r="D43" t="s">
        <v>69</v>
      </c>
      <c r="E43">
        <v>1</v>
      </c>
      <c r="F43">
        <v>70</v>
      </c>
      <c r="G43" t="s">
        <v>19</v>
      </c>
      <c r="H43">
        <v>70</v>
      </c>
      <c r="I43" t="s">
        <v>28</v>
      </c>
      <c r="J43" t="s">
        <v>31</v>
      </c>
      <c r="K43" t="str">
        <f t="shared" si="0"/>
        <v>Low</v>
      </c>
    </row>
    <row r="44" spans="1:11" x14ac:dyDescent="0.3">
      <c r="A44" s="12">
        <v>45682</v>
      </c>
      <c r="B44" t="s">
        <v>90</v>
      </c>
      <c r="C44" t="s">
        <v>68</v>
      </c>
      <c r="D44" t="s">
        <v>69</v>
      </c>
      <c r="E44">
        <v>10</v>
      </c>
      <c r="F44">
        <v>70</v>
      </c>
      <c r="G44" t="s">
        <v>23</v>
      </c>
      <c r="H44">
        <v>700</v>
      </c>
      <c r="I44" t="s">
        <v>28</v>
      </c>
      <c r="J44" t="s">
        <v>24</v>
      </c>
      <c r="K44" t="str">
        <f t="shared" si="0"/>
        <v>High</v>
      </c>
    </row>
    <row r="45" spans="1:11" x14ac:dyDescent="0.3">
      <c r="A45" s="12">
        <v>45663</v>
      </c>
      <c r="B45" t="s">
        <v>91</v>
      </c>
      <c r="C45" t="s">
        <v>88</v>
      </c>
      <c r="D45" t="s">
        <v>69</v>
      </c>
      <c r="E45">
        <v>2</v>
      </c>
      <c r="F45">
        <v>200</v>
      </c>
      <c r="G45" t="s">
        <v>13</v>
      </c>
      <c r="H45">
        <v>400</v>
      </c>
      <c r="I45" t="s">
        <v>28</v>
      </c>
      <c r="J45" t="s">
        <v>20</v>
      </c>
      <c r="K45" t="str">
        <f t="shared" si="0"/>
        <v>Medium</v>
      </c>
    </row>
    <row r="46" spans="1:11" x14ac:dyDescent="0.3">
      <c r="A46" s="12">
        <v>45688</v>
      </c>
      <c r="B46" t="s">
        <v>92</v>
      </c>
      <c r="C46" t="s">
        <v>42</v>
      </c>
      <c r="D46" t="s">
        <v>43</v>
      </c>
      <c r="E46">
        <v>1</v>
      </c>
      <c r="F46">
        <v>40</v>
      </c>
      <c r="G46" t="s">
        <v>13</v>
      </c>
      <c r="H46">
        <v>40</v>
      </c>
      <c r="I46" t="s">
        <v>28</v>
      </c>
      <c r="J46" t="s">
        <v>36</v>
      </c>
      <c r="K46" t="str">
        <f t="shared" si="0"/>
        <v>Low</v>
      </c>
    </row>
    <row r="47" spans="1:11" x14ac:dyDescent="0.3">
      <c r="A47" s="12">
        <v>45737</v>
      </c>
      <c r="B47" t="s">
        <v>93</v>
      </c>
      <c r="C47" t="s">
        <v>79</v>
      </c>
      <c r="D47" t="s">
        <v>64</v>
      </c>
      <c r="E47">
        <v>5</v>
      </c>
      <c r="F47">
        <v>20</v>
      </c>
      <c r="G47" t="s">
        <v>23</v>
      </c>
      <c r="H47">
        <v>100</v>
      </c>
      <c r="I47" t="s">
        <v>14</v>
      </c>
      <c r="J47" t="s">
        <v>36</v>
      </c>
      <c r="K47" t="str">
        <f t="shared" si="0"/>
        <v>Low</v>
      </c>
    </row>
    <row r="48" spans="1:11" x14ac:dyDescent="0.3">
      <c r="A48" s="12">
        <v>45709</v>
      </c>
      <c r="B48" t="s">
        <v>94</v>
      </c>
      <c r="C48" t="s">
        <v>79</v>
      </c>
      <c r="D48" t="s">
        <v>64</v>
      </c>
      <c r="E48">
        <v>5</v>
      </c>
      <c r="F48">
        <v>20</v>
      </c>
      <c r="G48" t="s">
        <v>13</v>
      </c>
      <c r="H48">
        <v>100</v>
      </c>
      <c r="I48" t="s">
        <v>35</v>
      </c>
      <c r="J48" t="s">
        <v>36</v>
      </c>
      <c r="K48" t="str">
        <f t="shared" si="0"/>
        <v>Low</v>
      </c>
    </row>
    <row r="49" spans="1:11" x14ac:dyDescent="0.3">
      <c r="A49" s="12">
        <v>45682</v>
      </c>
      <c r="B49" t="s">
        <v>95</v>
      </c>
      <c r="C49" t="s">
        <v>11</v>
      </c>
      <c r="D49" t="s">
        <v>12</v>
      </c>
      <c r="E49">
        <v>6</v>
      </c>
      <c r="F49">
        <v>6</v>
      </c>
      <c r="G49" t="s">
        <v>13</v>
      </c>
      <c r="H49">
        <v>36</v>
      </c>
      <c r="I49" t="s">
        <v>28</v>
      </c>
      <c r="J49" t="s">
        <v>24</v>
      </c>
      <c r="K49" t="str">
        <f t="shared" si="0"/>
        <v>Low</v>
      </c>
    </row>
    <row r="50" spans="1:11" x14ac:dyDescent="0.3">
      <c r="A50" s="12">
        <v>45665</v>
      </c>
      <c r="B50" t="s">
        <v>96</v>
      </c>
      <c r="C50" t="s">
        <v>11</v>
      </c>
      <c r="D50" t="s">
        <v>12</v>
      </c>
      <c r="E50">
        <v>5</v>
      </c>
      <c r="F50">
        <v>6</v>
      </c>
      <c r="G50" t="s">
        <v>13</v>
      </c>
      <c r="H50">
        <v>30</v>
      </c>
      <c r="I50" t="s">
        <v>28</v>
      </c>
      <c r="J50" t="s">
        <v>15</v>
      </c>
      <c r="K50" t="str">
        <f t="shared" si="0"/>
        <v>Low</v>
      </c>
    </row>
    <row r="51" spans="1:11" x14ac:dyDescent="0.3">
      <c r="A51" s="12">
        <v>45720</v>
      </c>
      <c r="B51" t="s">
        <v>97</v>
      </c>
      <c r="C51" t="s">
        <v>88</v>
      </c>
      <c r="D51" t="s">
        <v>69</v>
      </c>
      <c r="E51">
        <v>9</v>
      </c>
      <c r="F51">
        <v>200</v>
      </c>
      <c r="G51" t="s">
        <v>19</v>
      </c>
      <c r="H51">
        <v>1800</v>
      </c>
      <c r="I51" t="s">
        <v>14</v>
      </c>
      <c r="J51" t="s">
        <v>31</v>
      </c>
      <c r="K51" t="str">
        <f t="shared" si="0"/>
        <v>High</v>
      </c>
    </row>
    <row r="52" spans="1:11" x14ac:dyDescent="0.3">
      <c r="A52" s="12">
        <v>45733</v>
      </c>
      <c r="B52" t="s">
        <v>98</v>
      </c>
      <c r="C52" t="s">
        <v>26</v>
      </c>
      <c r="D52" t="s">
        <v>27</v>
      </c>
      <c r="E52">
        <v>1</v>
      </c>
      <c r="F52">
        <v>60</v>
      </c>
      <c r="G52" t="s">
        <v>13</v>
      </c>
      <c r="H52">
        <v>60</v>
      </c>
      <c r="I52" t="s">
        <v>14</v>
      </c>
      <c r="J52" t="s">
        <v>20</v>
      </c>
      <c r="K52" t="str">
        <f t="shared" si="0"/>
        <v>Low</v>
      </c>
    </row>
    <row r="53" spans="1:11" x14ac:dyDescent="0.3">
      <c r="A53" s="12">
        <v>45672</v>
      </c>
      <c r="B53" t="s">
        <v>99</v>
      </c>
      <c r="C53" t="s">
        <v>100</v>
      </c>
      <c r="D53" t="s">
        <v>64</v>
      </c>
      <c r="E53">
        <v>6</v>
      </c>
      <c r="F53">
        <v>25</v>
      </c>
      <c r="G53" t="s">
        <v>23</v>
      </c>
      <c r="H53">
        <v>150</v>
      </c>
      <c r="I53" t="s">
        <v>28</v>
      </c>
      <c r="J53" t="s">
        <v>15</v>
      </c>
      <c r="K53" t="str">
        <f t="shared" si="0"/>
        <v>Medium</v>
      </c>
    </row>
    <row r="54" spans="1:11" x14ac:dyDescent="0.3">
      <c r="A54" s="12">
        <v>45681</v>
      </c>
      <c r="B54" t="s">
        <v>101</v>
      </c>
      <c r="C54" t="s">
        <v>88</v>
      </c>
      <c r="D54" t="s">
        <v>69</v>
      </c>
      <c r="E54">
        <v>9</v>
      </c>
      <c r="F54">
        <v>200</v>
      </c>
      <c r="G54" t="s">
        <v>13</v>
      </c>
      <c r="H54">
        <v>1800</v>
      </c>
      <c r="I54" t="s">
        <v>28</v>
      </c>
      <c r="J54" t="s">
        <v>36</v>
      </c>
      <c r="K54" t="str">
        <f t="shared" si="0"/>
        <v>High</v>
      </c>
    </row>
    <row r="55" spans="1:11" x14ac:dyDescent="0.3">
      <c r="A55" s="12">
        <v>45741</v>
      </c>
      <c r="B55" t="s">
        <v>102</v>
      </c>
      <c r="C55" t="s">
        <v>47</v>
      </c>
      <c r="D55" t="s">
        <v>48</v>
      </c>
      <c r="E55">
        <v>10</v>
      </c>
      <c r="F55">
        <v>120</v>
      </c>
      <c r="G55" t="s">
        <v>23</v>
      </c>
      <c r="H55">
        <v>1200</v>
      </c>
      <c r="I55" t="s">
        <v>14</v>
      </c>
      <c r="J55" t="s">
        <v>31</v>
      </c>
      <c r="K55" t="str">
        <f t="shared" si="0"/>
        <v>High</v>
      </c>
    </row>
    <row r="56" spans="1:11" x14ac:dyDescent="0.3">
      <c r="A56" s="12">
        <v>45679</v>
      </c>
      <c r="B56" t="s">
        <v>103</v>
      </c>
      <c r="C56" t="s">
        <v>104</v>
      </c>
      <c r="D56" t="s">
        <v>48</v>
      </c>
      <c r="E56">
        <v>6</v>
      </c>
      <c r="F56">
        <v>30</v>
      </c>
      <c r="G56" t="s">
        <v>19</v>
      </c>
      <c r="H56">
        <v>180</v>
      </c>
      <c r="I56" t="s">
        <v>28</v>
      </c>
      <c r="J56" t="s">
        <v>15</v>
      </c>
      <c r="K56" t="str">
        <f t="shared" si="0"/>
        <v>Medium</v>
      </c>
    </row>
    <row r="57" spans="1:11" x14ac:dyDescent="0.3">
      <c r="A57" s="12">
        <v>45686</v>
      </c>
      <c r="B57" t="s">
        <v>105</v>
      </c>
      <c r="C57" t="s">
        <v>100</v>
      </c>
      <c r="D57" t="s">
        <v>64</v>
      </c>
      <c r="E57">
        <v>6</v>
      </c>
      <c r="F57">
        <v>25</v>
      </c>
      <c r="G57" t="s">
        <v>23</v>
      </c>
      <c r="H57">
        <v>150</v>
      </c>
      <c r="I57" t="s">
        <v>28</v>
      </c>
      <c r="J57" t="s">
        <v>15</v>
      </c>
      <c r="K57" t="str">
        <f t="shared" si="0"/>
        <v>Medium</v>
      </c>
    </row>
    <row r="58" spans="1:11" x14ac:dyDescent="0.3">
      <c r="A58" s="12">
        <v>45682</v>
      </c>
      <c r="B58" t="s">
        <v>106</v>
      </c>
      <c r="C58" t="s">
        <v>88</v>
      </c>
      <c r="D58" t="s">
        <v>69</v>
      </c>
      <c r="E58">
        <v>4</v>
      </c>
      <c r="F58">
        <v>200</v>
      </c>
      <c r="G58" t="s">
        <v>13</v>
      </c>
      <c r="H58">
        <v>800</v>
      </c>
      <c r="I58" t="s">
        <v>28</v>
      </c>
      <c r="J58" t="s">
        <v>24</v>
      </c>
      <c r="K58" t="str">
        <f t="shared" si="0"/>
        <v>High</v>
      </c>
    </row>
    <row r="59" spans="1:11" x14ac:dyDescent="0.3">
      <c r="A59" s="12">
        <v>45663</v>
      </c>
      <c r="B59" t="s">
        <v>107</v>
      </c>
      <c r="C59" t="s">
        <v>59</v>
      </c>
      <c r="D59" t="s">
        <v>34</v>
      </c>
      <c r="E59">
        <v>8</v>
      </c>
      <c r="F59">
        <v>45</v>
      </c>
      <c r="G59" t="s">
        <v>19</v>
      </c>
      <c r="H59">
        <v>360</v>
      </c>
      <c r="I59" t="s">
        <v>28</v>
      </c>
      <c r="J59" t="s">
        <v>20</v>
      </c>
      <c r="K59" t="str">
        <f t="shared" si="0"/>
        <v>Medium</v>
      </c>
    </row>
    <row r="60" spans="1:11" x14ac:dyDescent="0.3">
      <c r="A60" s="12">
        <v>45742</v>
      </c>
      <c r="B60" t="s">
        <v>108</v>
      </c>
      <c r="C60" t="s">
        <v>59</v>
      </c>
      <c r="D60" t="s">
        <v>34</v>
      </c>
      <c r="E60">
        <v>1</v>
      </c>
      <c r="F60">
        <v>45</v>
      </c>
      <c r="G60" t="s">
        <v>23</v>
      </c>
      <c r="H60">
        <v>45</v>
      </c>
      <c r="I60" t="s">
        <v>14</v>
      </c>
      <c r="J60" t="s">
        <v>15</v>
      </c>
      <c r="K60" t="str">
        <f t="shared" si="0"/>
        <v>Low</v>
      </c>
    </row>
    <row r="61" spans="1:11" x14ac:dyDescent="0.3">
      <c r="A61" s="12">
        <v>45721</v>
      </c>
      <c r="B61" t="s">
        <v>109</v>
      </c>
      <c r="C61" t="s">
        <v>63</v>
      </c>
      <c r="D61" t="s">
        <v>64</v>
      </c>
      <c r="E61">
        <v>8</v>
      </c>
      <c r="F61">
        <v>90</v>
      </c>
      <c r="G61" t="s">
        <v>19</v>
      </c>
      <c r="H61">
        <v>720</v>
      </c>
      <c r="I61" t="s">
        <v>14</v>
      </c>
      <c r="J61" t="s">
        <v>15</v>
      </c>
      <c r="K61" t="str">
        <f t="shared" si="0"/>
        <v>High</v>
      </c>
    </row>
    <row r="62" spans="1:11" x14ac:dyDescent="0.3">
      <c r="A62" s="12">
        <v>45723</v>
      </c>
      <c r="B62" t="s">
        <v>110</v>
      </c>
      <c r="C62" t="s">
        <v>79</v>
      </c>
      <c r="D62" t="s">
        <v>64</v>
      </c>
      <c r="E62">
        <v>10</v>
      </c>
      <c r="F62">
        <v>20</v>
      </c>
      <c r="G62" t="s">
        <v>19</v>
      </c>
      <c r="H62">
        <v>200</v>
      </c>
      <c r="I62" t="s">
        <v>14</v>
      </c>
      <c r="J62" t="s">
        <v>36</v>
      </c>
      <c r="K62" t="str">
        <f t="shared" si="0"/>
        <v>Medium</v>
      </c>
    </row>
    <row r="63" spans="1:11" x14ac:dyDescent="0.3">
      <c r="A63" s="12">
        <v>45663</v>
      </c>
      <c r="B63" t="s">
        <v>111</v>
      </c>
      <c r="C63" t="s">
        <v>42</v>
      </c>
      <c r="D63" t="s">
        <v>43</v>
      </c>
      <c r="E63">
        <v>1</v>
      </c>
      <c r="F63">
        <v>40</v>
      </c>
      <c r="G63" t="s">
        <v>23</v>
      </c>
      <c r="H63">
        <v>40</v>
      </c>
      <c r="I63" t="s">
        <v>28</v>
      </c>
      <c r="J63" t="s">
        <v>20</v>
      </c>
      <c r="K63" t="str">
        <f t="shared" si="0"/>
        <v>Low</v>
      </c>
    </row>
    <row r="64" spans="1:11" x14ac:dyDescent="0.3">
      <c r="A64" s="12">
        <v>45682</v>
      </c>
      <c r="B64" t="s">
        <v>112</v>
      </c>
      <c r="C64" t="s">
        <v>26</v>
      </c>
      <c r="D64" t="s">
        <v>27</v>
      </c>
      <c r="E64">
        <v>6</v>
      </c>
      <c r="F64">
        <v>60</v>
      </c>
      <c r="G64" t="s">
        <v>19</v>
      </c>
      <c r="H64">
        <v>360</v>
      </c>
      <c r="I64" t="s">
        <v>28</v>
      </c>
      <c r="J64" t="s">
        <v>24</v>
      </c>
      <c r="K64" t="str">
        <f t="shared" si="0"/>
        <v>Medium</v>
      </c>
    </row>
    <row r="65" spans="1:11" x14ac:dyDescent="0.3">
      <c r="A65" s="12">
        <v>45727</v>
      </c>
      <c r="B65" t="s">
        <v>113</v>
      </c>
      <c r="C65" t="s">
        <v>22</v>
      </c>
      <c r="D65" t="s">
        <v>12</v>
      </c>
      <c r="E65">
        <v>4</v>
      </c>
      <c r="F65">
        <v>260</v>
      </c>
      <c r="G65" t="s">
        <v>13</v>
      </c>
      <c r="H65">
        <v>1040</v>
      </c>
      <c r="I65" t="s">
        <v>14</v>
      </c>
      <c r="J65" t="s">
        <v>31</v>
      </c>
      <c r="K65" t="str">
        <f t="shared" si="0"/>
        <v>High</v>
      </c>
    </row>
    <row r="66" spans="1:11" x14ac:dyDescent="0.3">
      <c r="A66" s="12">
        <v>45717</v>
      </c>
      <c r="B66" t="s">
        <v>114</v>
      </c>
      <c r="C66" t="s">
        <v>42</v>
      </c>
      <c r="D66" t="s">
        <v>43</v>
      </c>
      <c r="E66">
        <v>5</v>
      </c>
      <c r="F66">
        <v>40</v>
      </c>
      <c r="G66" t="s">
        <v>19</v>
      </c>
      <c r="H66">
        <v>200</v>
      </c>
      <c r="I66" t="s">
        <v>14</v>
      </c>
      <c r="J66" t="s">
        <v>24</v>
      </c>
      <c r="K66" t="str">
        <f t="shared" si="0"/>
        <v>Medium</v>
      </c>
    </row>
    <row r="67" spans="1:11" x14ac:dyDescent="0.3">
      <c r="A67" s="12">
        <v>45734</v>
      </c>
      <c r="B67" t="s">
        <v>115</v>
      </c>
      <c r="C67" t="s">
        <v>47</v>
      </c>
      <c r="D67" t="s">
        <v>48</v>
      </c>
      <c r="E67">
        <v>10</v>
      </c>
      <c r="F67">
        <v>120</v>
      </c>
      <c r="G67" t="s">
        <v>13</v>
      </c>
      <c r="H67">
        <v>1200</v>
      </c>
      <c r="I67" t="s">
        <v>14</v>
      </c>
      <c r="J67" t="s">
        <v>31</v>
      </c>
      <c r="K67" t="str">
        <f t="shared" ref="K67:K130" si="1">IF(H67&lt;=100,"Low",IF(H67&lt;=500,"Medium","High"))</f>
        <v>High</v>
      </c>
    </row>
    <row r="68" spans="1:11" x14ac:dyDescent="0.3">
      <c r="A68" s="12">
        <v>45723</v>
      </c>
      <c r="B68" t="s">
        <v>116</v>
      </c>
      <c r="C68" t="s">
        <v>100</v>
      </c>
      <c r="D68" t="s">
        <v>64</v>
      </c>
      <c r="E68">
        <v>4</v>
      </c>
      <c r="F68">
        <v>25</v>
      </c>
      <c r="G68" t="s">
        <v>23</v>
      </c>
      <c r="H68">
        <v>100</v>
      </c>
      <c r="I68" t="s">
        <v>14</v>
      </c>
      <c r="J68" t="s">
        <v>36</v>
      </c>
      <c r="K68" t="str">
        <f t="shared" si="1"/>
        <v>Low</v>
      </c>
    </row>
    <row r="69" spans="1:11" x14ac:dyDescent="0.3">
      <c r="A69" s="12">
        <v>45685</v>
      </c>
      <c r="B69" t="s">
        <v>117</v>
      </c>
      <c r="C69" t="s">
        <v>52</v>
      </c>
      <c r="D69" t="s">
        <v>27</v>
      </c>
      <c r="E69">
        <v>7</v>
      </c>
      <c r="F69">
        <v>80</v>
      </c>
      <c r="G69" t="s">
        <v>19</v>
      </c>
      <c r="H69">
        <v>560</v>
      </c>
      <c r="I69" t="s">
        <v>28</v>
      </c>
      <c r="J69" t="s">
        <v>31</v>
      </c>
      <c r="K69" t="str">
        <f t="shared" si="1"/>
        <v>High</v>
      </c>
    </row>
    <row r="70" spans="1:11" x14ac:dyDescent="0.3">
      <c r="A70" s="12">
        <v>45729</v>
      </c>
      <c r="B70" t="s">
        <v>118</v>
      </c>
      <c r="C70" t="s">
        <v>68</v>
      </c>
      <c r="D70" t="s">
        <v>69</v>
      </c>
      <c r="E70">
        <v>1</v>
      </c>
      <c r="F70">
        <v>70</v>
      </c>
      <c r="G70" t="s">
        <v>19</v>
      </c>
      <c r="H70">
        <v>70</v>
      </c>
      <c r="I70" t="s">
        <v>14</v>
      </c>
      <c r="J70" t="s">
        <v>56</v>
      </c>
      <c r="K70" t="str">
        <f t="shared" si="1"/>
        <v>Low</v>
      </c>
    </row>
    <row r="71" spans="1:11" x14ac:dyDescent="0.3">
      <c r="A71" s="12">
        <v>45713</v>
      </c>
      <c r="B71" t="s">
        <v>119</v>
      </c>
      <c r="C71" t="s">
        <v>71</v>
      </c>
      <c r="D71" t="s">
        <v>18</v>
      </c>
      <c r="E71">
        <v>6</v>
      </c>
      <c r="F71">
        <v>35</v>
      </c>
      <c r="G71" t="s">
        <v>13</v>
      </c>
      <c r="H71">
        <v>210</v>
      </c>
      <c r="I71" t="s">
        <v>35</v>
      </c>
      <c r="J71" t="s">
        <v>31</v>
      </c>
      <c r="K71" t="str">
        <f t="shared" si="1"/>
        <v>Medium</v>
      </c>
    </row>
    <row r="72" spans="1:11" x14ac:dyDescent="0.3">
      <c r="A72" s="12">
        <v>45660</v>
      </c>
      <c r="B72" t="s">
        <v>120</v>
      </c>
      <c r="C72" t="s">
        <v>121</v>
      </c>
      <c r="D72" t="s">
        <v>69</v>
      </c>
      <c r="E72">
        <v>10</v>
      </c>
      <c r="F72">
        <v>50</v>
      </c>
      <c r="G72" t="s">
        <v>13</v>
      </c>
      <c r="H72">
        <v>500</v>
      </c>
      <c r="I72" t="s">
        <v>28</v>
      </c>
      <c r="J72" t="s">
        <v>36</v>
      </c>
      <c r="K72" t="str">
        <f t="shared" si="1"/>
        <v>Medium</v>
      </c>
    </row>
    <row r="73" spans="1:11" x14ac:dyDescent="0.3">
      <c r="A73" s="12">
        <v>45726</v>
      </c>
      <c r="B73" t="s">
        <v>122</v>
      </c>
      <c r="C73" t="s">
        <v>52</v>
      </c>
      <c r="D73" t="s">
        <v>27</v>
      </c>
      <c r="E73">
        <v>8</v>
      </c>
      <c r="F73">
        <v>80</v>
      </c>
      <c r="G73" t="s">
        <v>19</v>
      </c>
      <c r="H73">
        <v>640</v>
      </c>
      <c r="I73" t="s">
        <v>14</v>
      </c>
      <c r="J73" t="s">
        <v>20</v>
      </c>
      <c r="K73" t="str">
        <f t="shared" si="1"/>
        <v>High</v>
      </c>
    </row>
    <row r="74" spans="1:11" x14ac:dyDescent="0.3">
      <c r="A74" s="12">
        <v>45738</v>
      </c>
      <c r="B74" t="s">
        <v>123</v>
      </c>
      <c r="C74" t="s">
        <v>26</v>
      </c>
      <c r="D74" t="s">
        <v>27</v>
      </c>
      <c r="E74">
        <v>3</v>
      </c>
      <c r="F74">
        <v>60</v>
      </c>
      <c r="G74" t="s">
        <v>23</v>
      </c>
      <c r="H74">
        <v>180</v>
      </c>
      <c r="I74" t="s">
        <v>14</v>
      </c>
      <c r="J74" t="s">
        <v>24</v>
      </c>
      <c r="K74" t="str">
        <f t="shared" si="1"/>
        <v>Medium</v>
      </c>
    </row>
    <row r="75" spans="1:11" x14ac:dyDescent="0.3">
      <c r="A75" s="12">
        <v>45695</v>
      </c>
      <c r="B75" t="s">
        <v>124</v>
      </c>
      <c r="C75" t="s">
        <v>59</v>
      </c>
      <c r="D75" t="s">
        <v>34</v>
      </c>
      <c r="E75">
        <v>10</v>
      </c>
      <c r="F75">
        <v>45</v>
      </c>
      <c r="G75" t="s">
        <v>23</v>
      </c>
      <c r="H75">
        <v>450</v>
      </c>
      <c r="I75" t="s">
        <v>35</v>
      </c>
      <c r="J75" t="s">
        <v>36</v>
      </c>
      <c r="K75" t="str">
        <f t="shared" si="1"/>
        <v>Medium</v>
      </c>
    </row>
    <row r="76" spans="1:11" x14ac:dyDescent="0.3">
      <c r="A76" s="12">
        <v>45747</v>
      </c>
      <c r="B76" t="s">
        <v>125</v>
      </c>
      <c r="C76" t="s">
        <v>121</v>
      </c>
      <c r="D76" t="s">
        <v>69</v>
      </c>
      <c r="E76">
        <v>3</v>
      </c>
      <c r="F76">
        <v>50</v>
      </c>
      <c r="G76" t="s">
        <v>23</v>
      </c>
      <c r="H76">
        <v>150</v>
      </c>
      <c r="I76" t="s">
        <v>14</v>
      </c>
      <c r="J76" t="s">
        <v>20</v>
      </c>
      <c r="K76" t="str">
        <f t="shared" si="1"/>
        <v>Medium</v>
      </c>
    </row>
    <row r="77" spans="1:11" x14ac:dyDescent="0.3">
      <c r="A77" s="12">
        <v>45670</v>
      </c>
      <c r="B77" t="s">
        <v>126</v>
      </c>
      <c r="C77" t="s">
        <v>68</v>
      </c>
      <c r="D77" t="s">
        <v>69</v>
      </c>
      <c r="E77">
        <v>9</v>
      </c>
      <c r="F77">
        <v>70</v>
      </c>
      <c r="G77" t="s">
        <v>13</v>
      </c>
      <c r="H77">
        <v>630</v>
      </c>
      <c r="I77" t="s">
        <v>28</v>
      </c>
      <c r="J77" t="s">
        <v>20</v>
      </c>
      <c r="K77" t="str">
        <f t="shared" si="1"/>
        <v>High</v>
      </c>
    </row>
    <row r="78" spans="1:11" x14ac:dyDescent="0.3">
      <c r="A78" s="12">
        <v>45725</v>
      </c>
      <c r="B78" t="s">
        <v>127</v>
      </c>
      <c r="C78" t="s">
        <v>42</v>
      </c>
      <c r="D78" t="s">
        <v>43</v>
      </c>
      <c r="E78">
        <v>3</v>
      </c>
      <c r="F78">
        <v>40</v>
      </c>
      <c r="G78" t="s">
        <v>19</v>
      </c>
      <c r="H78">
        <v>120</v>
      </c>
      <c r="I78" t="s">
        <v>14</v>
      </c>
      <c r="J78" t="s">
        <v>45</v>
      </c>
      <c r="K78" t="str">
        <f t="shared" si="1"/>
        <v>Medium</v>
      </c>
    </row>
    <row r="79" spans="1:11" x14ac:dyDescent="0.3">
      <c r="A79" s="12">
        <v>45728</v>
      </c>
      <c r="B79" t="s">
        <v>128</v>
      </c>
      <c r="C79" t="s">
        <v>129</v>
      </c>
      <c r="D79" t="s">
        <v>34</v>
      </c>
      <c r="E79">
        <v>7</v>
      </c>
      <c r="F79">
        <v>60</v>
      </c>
      <c r="G79" t="s">
        <v>13</v>
      </c>
      <c r="H79">
        <v>420</v>
      </c>
      <c r="I79" t="s">
        <v>14</v>
      </c>
      <c r="J79" t="s">
        <v>15</v>
      </c>
      <c r="K79" t="str">
        <f t="shared" si="1"/>
        <v>Medium</v>
      </c>
    </row>
    <row r="80" spans="1:11" x14ac:dyDescent="0.3">
      <c r="A80" s="12">
        <v>45671</v>
      </c>
      <c r="B80" t="s">
        <v>130</v>
      </c>
      <c r="C80" t="s">
        <v>77</v>
      </c>
      <c r="D80" t="s">
        <v>69</v>
      </c>
      <c r="E80">
        <v>7</v>
      </c>
      <c r="F80">
        <v>150</v>
      </c>
      <c r="G80" t="s">
        <v>19</v>
      </c>
      <c r="H80">
        <v>1050</v>
      </c>
      <c r="I80" t="s">
        <v>28</v>
      </c>
      <c r="J80" t="s">
        <v>31</v>
      </c>
      <c r="K80" t="str">
        <f t="shared" si="1"/>
        <v>High</v>
      </c>
    </row>
    <row r="81" spans="1:11" x14ac:dyDescent="0.3">
      <c r="A81" s="12">
        <v>45714</v>
      </c>
      <c r="B81" t="s">
        <v>131</v>
      </c>
      <c r="C81" t="s">
        <v>11</v>
      </c>
      <c r="D81" t="s">
        <v>12</v>
      </c>
      <c r="E81">
        <v>2</v>
      </c>
      <c r="F81">
        <v>6</v>
      </c>
      <c r="G81" t="s">
        <v>23</v>
      </c>
      <c r="H81">
        <v>12</v>
      </c>
      <c r="I81" t="s">
        <v>35</v>
      </c>
      <c r="J81" t="s">
        <v>15</v>
      </c>
      <c r="K81" t="str">
        <f t="shared" si="1"/>
        <v>Low</v>
      </c>
    </row>
    <row r="82" spans="1:11" x14ac:dyDescent="0.3">
      <c r="A82" s="12">
        <v>45695</v>
      </c>
      <c r="B82" t="s">
        <v>132</v>
      </c>
      <c r="C82" t="s">
        <v>22</v>
      </c>
      <c r="D82" t="s">
        <v>12</v>
      </c>
      <c r="E82">
        <v>10</v>
      </c>
      <c r="F82">
        <v>260</v>
      </c>
      <c r="G82" t="s">
        <v>13</v>
      </c>
      <c r="H82">
        <v>2600</v>
      </c>
      <c r="I82" t="s">
        <v>35</v>
      </c>
      <c r="J82" t="s">
        <v>36</v>
      </c>
      <c r="K82" t="str">
        <f t="shared" si="1"/>
        <v>High</v>
      </c>
    </row>
    <row r="83" spans="1:11" x14ac:dyDescent="0.3">
      <c r="A83" s="12">
        <v>45690</v>
      </c>
      <c r="B83" t="s">
        <v>133</v>
      </c>
      <c r="C83" t="s">
        <v>22</v>
      </c>
      <c r="D83" t="s">
        <v>12</v>
      </c>
      <c r="E83">
        <v>2</v>
      </c>
      <c r="F83">
        <v>260</v>
      </c>
      <c r="G83" t="s">
        <v>19</v>
      </c>
      <c r="H83">
        <v>520</v>
      </c>
      <c r="I83" t="s">
        <v>35</v>
      </c>
      <c r="J83" t="s">
        <v>45</v>
      </c>
      <c r="K83" t="str">
        <f t="shared" si="1"/>
        <v>High</v>
      </c>
    </row>
    <row r="84" spans="1:11" x14ac:dyDescent="0.3">
      <c r="A84" s="12">
        <v>45663</v>
      </c>
      <c r="B84" t="s">
        <v>134</v>
      </c>
      <c r="C84" t="s">
        <v>17</v>
      </c>
      <c r="D84" t="s">
        <v>18</v>
      </c>
      <c r="E84">
        <v>4</v>
      </c>
      <c r="F84">
        <v>30</v>
      </c>
      <c r="G84" t="s">
        <v>23</v>
      </c>
      <c r="H84">
        <v>120</v>
      </c>
      <c r="I84" t="s">
        <v>28</v>
      </c>
      <c r="J84" t="s">
        <v>20</v>
      </c>
      <c r="K84" t="str">
        <f t="shared" si="1"/>
        <v>Medium</v>
      </c>
    </row>
    <row r="85" spans="1:11" x14ac:dyDescent="0.3">
      <c r="A85" s="12">
        <v>45667</v>
      </c>
      <c r="B85" t="s">
        <v>135</v>
      </c>
      <c r="C85" t="s">
        <v>129</v>
      </c>
      <c r="D85" t="s">
        <v>34</v>
      </c>
      <c r="E85">
        <v>2</v>
      </c>
      <c r="F85">
        <v>60</v>
      </c>
      <c r="G85" t="s">
        <v>23</v>
      </c>
      <c r="H85">
        <v>120</v>
      </c>
      <c r="I85" t="s">
        <v>28</v>
      </c>
      <c r="J85" t="s">
        <v>36</v>
      </c>
      <c r="K85" t="str">
        <f t="shared" si="1"/>
        <v>Medium</v>
      </c>
    </row>
    <row r="86" spans="1:11" x14ac:dyDescent="0.3">
      <c r="A86" s="12">
        <v>45716</v>
      </c>
      <c r="B86" t="s">
        <v>136</v>
      </c>
      <c r="C86" t="s">
        <v>39</v>
      </c>
      <c r="D86" t="s">
        <v>12</v>
      </c>
      <c r="E86">
        <v>2</v>
      </c>
      <c r="F86">
        <v>300</v>
      </c>
      <c r="G86" t="s">
        <v>23</v>
      </c>
      <c r="H86">
        <v>600</v>
      </c>
      <c r="I86" t="s">
        <v>35</v>
      </c>
      <c r="J86" t="s">
        <v>36</v>
      </c>
      <c r="K86" t="str">
        <f t="shared" si="1"/>
        <v>High</v>
      </c>
    </row>
    <row r="87" spans="1:11" x14ac:dyDescent="0.3">
      <c r="A87" s="12">
        <v>45720</v>
      </c>
      <c r="B87" t="s">
        <v>137</v>
      </c>
      <c r="C87" t="s">
        <v>17</v>
      </c>
      <c r="D87" t="s">
        <v>18</v>
      </c>
      <c r="E87">
        <v>4</v>
      </c>
      <c r="F87">
        <v>30</v>
      </c>
      <c r="G87" t="s">
        <v>23</v>
      </c>
      <c r="H87">
        <v>120</v>
      </c>
      <c r="I87" t="s">
        <v>14</v>
      </c>
      <c r="J87" t="s">
        <v>31</v>
      </c>
      <c r="K87" t="str">
        <f t="shared" si="1"/>
        <v>Medium</v>
      </c>
    </row>
    <row r="88" spans="1:11" x14ac:dyDescent="0.3">
      <c r="A88" s="12">
        <v>45683</v>
      </c>
      <c r="B88" t="s">
        <v>138</v>
      </c>
      <c r="C88" t="s">
        <v>47</v>
      </c>
      <c r="D88" t="s">
        <v>48</v>
      </c>
      <c r="E88">
        <v>1</v>
      </c>
      <c r="F88">
        <v>120</v>
      </c>
      <c r="G88" t="s">
        <v>19</v>
      </c>
      <c r="H88">
        <v>120</v>
      </c>
      <c r="I88" t="s">
        <v>28</v>
      </c>
      <c r="J88" t="s">
        <v>45</v>
      </c>
      <c r="K88" t="str">
        <f t="shared" si="1"/>
        <v>Medium</v>
      </c>
    </row>
    <row r="89" spans="1:11" x14ac:dyDescent="0.3">
      <c r="A89" s="12">
        <v>45748</v>
      </c>
      <c r="B89" t="s">
        <v>139</v>
      </c>
      <c r="C89" t="s">
        <v>77</v>
      </c>
      <c r="D89" t="s">
        <v>69</v>
      </c>
      <c r="E89">
        <v>6</v>
      </c>
      <c r="F89">
        <v>150</v>
      </c>
      <c r="G89" t="s">
        <v>23</v>
      </c>
      <c r="H89">
        <v>900</v>
      </c>
      <c r="I89" t="s">
        <v>30</v>
      </c>
      <c r="J89" t="s">
        <v>31</v>
      </c>
      <c r="K89" t="str">
        <f t="shared" si="1"/>
        <v>High</v>
      </c>
    </row>
    <row r="90" spans="1:11" x14ac:dyDescent="0.3">
      <c r="A90" s="12">
        <v>45703</v>
      </c>
      <c r="B90" t="s">
        <v>140</v>
      </c>
      <c r="C90" t="s">
        <v>71</v>
      </c>
      <c r="D90" t="s">
        <v>18</v>
      </c>
      <c r="E90">
        <v>6</v>
      </c>
      <c r="F90">
        <v>35</v>
      </c>
      <c r="G90" t="s">
        <v>13</v>
      </c>
      <c r="H90">
        <v>210</v>
      </c>
      <c r="I90" t="s">
        <v>35</v>
      </c>
      <c r="J90" t="s">
        <v>24</v>
      </c>
      <c r="K90" t="str">
        <f t="shared" si="1"/>
        <v>Medium</v>
      </c>
    </row>
    <row r="91" spans="1:11" x14ac:dyDescent="0.3">
      <c r="A91" s="12">
        <v>45703</v>
      </c>
      <c r="B91" t="s">
        <v>141</v>
      </c>
      <c r="C91" t="s">
        <v>88</v>
      </c>
      <c r="D91" t="s">
        <v>69</v>
      </c>
      <c r="E91">
        <v>8</v>
      </c>
      <c r="F91">
        <v>200</v>
      </c>
      <c r="G91" t="s">
        <v>13</v>
      </c>
      <c r="H91">
        <v>1600</v>
      </c>
      <c r="I91" t="s">
        <v>35</v>
      </c>
      <c r="J91" t="s">
        <v>24</v>
      </c>
      <c r="K91" t="str">
        <f t="shared" si="1"/>
        <v>High</v>
      </c>
    </row>
    <row r="92" spans="1:11" x14ac:dyDescent="0.3">
      <c r="A92" s="12">
        <v>45712</v>
      </c>
      <c r="B92" t="s">
        <v>142</v>
      </c>
      <c r="C92" t="s">
        <v>52</v>
      </c>
      <c r="D92" t="s">
        <v>27</v>
      </c>
      <c r="E92">
        <v>8</v>
      </c>
      <c r="F92">
        <v>80</v>
      </c>
      <c r="G92" t="s">
        <v>13</v>
      </c>
      <c r="H92">
        <v>640</v>
      </c>
      <c r="I92" t="s">
        <v>35</v>
      </c>
      <c r="J92" t="s">
        <v>20</v>
      </c>
      <c r="K92" t="str">
        <f t="shared" si="1"/>
        <v>High</v>
      </c>
    </row>
    <row r="93" spans="1:11" x14ac:dyDescent="0.3">
      <c r="A93" s="12">
        <v>45698</v>
      </c>
      <c r="B93" t="s">
        <v>143</v>
      </c>
      <c r="C93" t="s">
        <v>39</v>
      </c>
      <c r="D93" t="s">
        <v>12</v>
      </c>
      <c r="E93">
        <v>10</v>
      </c>
      <c r="F93">
        <v>300</v>
      </c>
      <c r="G93" t="s">
        <v>23</v>
      </c>
      <c r="H93">
        <v>3000</v>
      </c>
      <c r="I93" t="s">
        <v>35</v>
      </c>
      <c r="J93" t="s">
        <v>20</v>
      </c>
      <c r="K93" t="str">
        <f t="shared" si="1"/>
        <v>High</v>
      </c>
    </row>
    <row r="94" spans="1:11" x14ac:dyDescent="0.3">
      <c r="A94" s="12">
        <v>45737</v>
      </c>
      <c r="B94" t="s">
        <v>144</v>
      </c>
      <c r="C94" t="s">
        <v>52</v>
      </c>
      <c r="D94" t="s">
        <v>27</v>
      </c>
      <c r="E94">
        <v>1</v>
      </c>
      <c r="F94">
        <v>80</v>
      </c>
      <c r="G94" t="s">
        <v>13</v>
      </c>
      <c r="H94">
        <v>80</v>
      </c>
      <c r="I94" t="s">
        <v>14</v>
      </c>
      <c r="J94" t="s">
        <v>36</v>
      </c>
      <c r="K94" t="str">
        <f t="shared" si="1"/>
        <v>Low</v>
      </c>
    </row>
    <row r="95" spans="1:11" x14ac:dyDescent="0.3">
      <c r="A95" s="12">
        <v>45742</v>
      </c>
      <c r="B95" t="s">
        <v>145</v>
      </c>
      <c r="C95" t="s">
        <v>39</v>
      </c>
      <c r="D95" t="s">
        <v>12</v>
      </c>
      <c r="E95">
        <v>2</v>
      </c>
      <c r="F95">
        <v>300</v>
      </c>
      <c r="G95" t="s">
        <v>13</v>
      </c>
      <c r="H95">
        <v>600</v>
      </c>
      <c r="I95" t="s">
        <v>14</v>
      </c>
      <c r="J95" t="s">
        <v>15</v>
      </c>
      <c r="K95" t="str">
        <f t="shared" si="1"/>
        <v>High</v>
      </c>
    </row>
    <row r="96" spans="1:11" x14ac:dyDescent="0.3">
      <c r="A96" s="12">
        <v>45682</v>
      </c>
      <c r="B96" t="s">
        <v>146</v>
      </c>
      <c r="C96" t="s">
        <v>17</v>
      </c>
      <c r="D96" t="s">
        <v>18</v>
      </c>
      <c r="E96">
        <v>7</v>
      </c>
      <c r="F96">
        <v>30</v>
      </c>
      <c r="G96" t="s">
        <v>19</v>
      </c>
      <c r="H96">
        <v>210</v>
      </c>
      <c r="I96" t="s">
        <v>28</v>
      </c>
      <c r="J96" t="s">
        <v>24</v>
      </c>
      <c r="K96" t="str">
        <f t="shared" si="1"/>
        <v>Medium</v>
      </c>
    </row>
    <row r="97" spans="1:11" x14ac:dyDescent="0.3">
      <c r="A97" s="12">
        <v>45704</v>
      </c>
      <c r="B97" t="s">
        <v>147</v>
      </c>
      <c r="C97" t="s">
        <v>52</v>
      </c>
      <c r="D97" t="s">
        <v>27</v>
      </c>
      <c r="E97">
        <v>2</v>
      </c>
      <c r="F97">
        <v>80</v>
      </c>
      <c r="G97" t="s">
        <v>19</v>
      </c>
      <c r="H97">
        <v>160</v>
      </c>
      <c r="I97" t="s">
        <v>35</v>
      </c>
      <c r="J97" t="s">
        <v>45</v>
      </c>
      <c r="K97" t="str">
        <f t="shared" si="1"/>
        <v>Medium</v>
      </c>
    </row>
    <row r="98" spans="1:11" x14ac:dyDescent="0.3">
      <c r="A98" s="12">
        <v>45745</v>
      </c>
      <c r="B98" t="s">
        <v>148</v>
      </c>
      <c r="C98" t="s">
        <v>33</v>
      </c>
      <c r="D98" t="s">
        <v>34</v>
      </c>
      <c r="E98">
        <v>2</v>
      </c>
      <c r="F98">
        <v>55</v>
      </c>
      <c r="G98" t="s">
        <v>13</v>
      </c>
      <c r="H98">
        <v>110</v>
      </c>
      <c r="I98" t="s">
        <v>14</v>
      </c>
      <c r="J98" t="s">
        <v>24</v>
      </c>
      <c r="K98" t="str">
        <f t="shared" si="1"/>
        <v>Medium</v>
      </c>
    </row>
    <row r="99" spans="1:11" x14ac:dyDescent="0.3">
      <c r="A99" s="12">
        <v>45660</v>
      </c>
      <c r="B99" t="s">
        <v>149</v>
      </c>
      <c r="C99" t="s">
        <v>59</v>
      </c>
      <c r="D99" t="s">
        <v>34</v>
      </c>
      <c r="E99">
        <v>3</v>
      </c>
      <c r="F99">
        <v>45</v>
      </c>
      <c r="G99" t="s">
        <v>23</v>
      </c>
      <c r="H99">
        <v>135</v>
      </c>
      <c r="I99" t="s">
        <v>28</v>
      </c>
      <c r="J99" t="s">
        <v>36</v>
      </c>
      <c r="K99" t="str">
        <f t="shared" si="1"/>
        <v>Medium</v>
      </c>
    </row>
    <row r="100" spans="1:11" x14ac:dyDescent="0.3">
      <c r="A100" s="12">
        <v>45707</v>
      </c>
      <c r="B100" t="s">
        <v>150</v>
      </c>
      <c r="C100" t="s">
        <v>129</v>
      </c>
      <c r="D100" t="s">
        <v>34</v>
      </c>
      <c r="E100">
        <v>4</v>
      </c>
      <c r="F100">
        <v>60</v>
      </c>
      <c r="G100" t="s">
        <v>23</v>
      </c>
      <c r="H100">
        <v>240</v>
      </c>
      <c r="I100" t="s">
        <v>35</v>
      </c>
      <c r="J100" t="s">
        <v>15</v>
      </c>
      <c r="K100" t="str">
        <f t="shared" si="1"/>
        <v>Medium</v>
      </c>
    </row>
    <row r="101" spans="1:11" x14ac:dyDescent="0.3">
      <c r="A101" s="12">
        <v>45730</v>
      </c>
      <c r="B101" t="s">
        <v>151</v>
      </c>
      <c r="C101" t="s">
        <v>88</v>
      </c>
      <c r="D101" t="s">
        <v>69</v>
      </c>
      <c r="E101">
        <v>10</v>
      </c>
      <c r="F101">
        <v>200</v>
      </c>
      <c r="G101" t="s">
        <v>23</v>
      </c>
      <c r="H101">
        <v>2000</v>
      </c>
      <c r="I101" t="s">
        <v>14</v>
      </c>
      <c r="J101" t="s">
        <v>36</v>
      </c>
      <c r="K101" t="str">
        <f t="shared" si="1"/>
        <v>High</v>
      </c>
    </row>
    <row r="102" spans="1:11" x14ac:dyDescent="0.3">
      <c r="A102" s="12">
        <v>45739</v>
      </c>
      <c r="B102" t="s">
        <v>152</v>
      </c>
      <c r="C102" t="s">
        <v>63</v>
      </c>
      <c r="D102" t="s">
        <v>64</v>
      </c>
      <c r="E102">
        <v>8</v>
      </c>
      <c r="F102">
        <v>90</v>
      </c>
      <c r="G102" t="s">
        <v>13</v>
      </c>
      <c r="H102">
        <v>720</v>
      </c>
      <c r="I102" t="s">
        <v>14</v>
      </c>
      <c r="J102" t="s">
        <v>45</v>
      </c>
      <c r="K102" t="str">
        <f t="shared" si="1"/>
        <v>High</v>
      </c>
    </row>
    <row r="103" spans="1:11" x14ac:dyDescent="0.3">
      <c r="A103" s="12">
        <v>45719</v>
      </c>
      <c r="B103" t="s">
        <v>153</v>
      </c>
      <c r="C103" t="s">
        <v>121</v>
      </c>
      <c r="D103" t="s">
        <v>69</v>
      </c>
      <c r="E103">
        <v>9</v>
      </c>
      <c r="F103">
        <v>50</v>
      </c>
      <c r="G103" t="s">
        <v>19</v>
      </c>
      <c r="H103">
        <v>450</v>
      </c>
      <c r="I103" t="s">
        <v>14</v>
      </c>
      <c r="J103" t="s">
        <v>20</v>
      </c>
      <c r="K103" t="str">
        <f t="shared" si="1"/>
        <v>Medium</v>
      </c>
    </row>
    <row r="104" spans="1:11" x14ac:dyDescent="0.3">
      <c r="A104" s="12">
        <v>45676</v>
      </c>
      <c r="B104" t="s">
        <v>154</v>
      </c>
      <c r="C104" t="s">
        <v>129</v>
      </c>
      <c r="D104" t="s">
        <v>34</v>
      </c>
      <c r="E104">
        <v>2</v>
      </c>
      <c r="F104">
        <v>60</v>
      </c>
      <c r="G104" t="s">
        <v>23</v>
      </c>
      <c r="H104">
        <v>120</v>
      </c>
      <c r="I104" t="s">
        <v>28</v>
      </c>
      <c r="J104" t="s">
        <v>45</v>
      </c>
      <c r="K104" t="str">
        <f t="shared" si="1"/>
        <v>Medium</v>
      </c>
    </row>
    <row r="105" spans="1:11" x14ac:dyDescent="0.3">
      <c r="A105" s="12">
        <v>45722</v>
      </c>
      <c r="B105" t="s">
        <v>155</v>
      </c>
      <c r="C105" t="s">
        <v>79</v>
      </c>
      <c r="D105" t="s">
        <v>64</v>
      </c>
      <c r="E105">
        <v>1</v>
      </c>
      <c r="F105">
        <v>20</v>
      </c>
      <c r="G105" t="s">
        <v>19</v>
      </c>
      <c r="H105">
        <v>20</v>
      </c>
      <c r="I105" t="s">
        <v>14</v>
      </c>
      <c r="J105" t="s">
        <v>56</v>
      </c>
      <c r="K105" t="str">
        <f t="shared" si="1"/>
        <v>Low</v>
      </c>
    </row>
    <row r="106" spans="1:11" x14ac:dyDescent="0.3">
      <c r="A106" s="12">
        <v>45728</v>
      </c>
      <c r="B106" t="s">
        <v>156</v>
      </c>
      <c r="C106" t="s">
        <v>121</v>
      </c>
      <c r="D106" t="s">
        <v>69</v>
      </c>
      <c r="E106">
        <v>8</v>
      </c>
      <c r="F106">
        <v>50</v>
      </c>
      <c r="G106" t="s">
        <v>13</v>
      </c>
      <c r="H106">
        <v>400</v>
      </c>
      <c r="I106" t="s">
        <v>14</v>
      </c>
      <c r="J106" t="s">
        <v>15</v>
      </c>
      <c r="K106" t="str">
        <f t="shared" si="1"/>
        <v>Medium</v>
      </c>
    </row>
    <row r="107" spans="1:11" x14ac:dyDescent="0.3">
      <c r="A107" s="12">
        <v>45707</v>
      </c>
      <c r="B107" t="s">
        <v>157</v>
      </c>
      <c r="C107" t="s">
        <v>22</v>
      </c>
      <c r="D107" t="s">
        <v>12</v>
      </c>
      <c r="E107">
        <v>6</v>
      </c>
      <c r="F107">
        <v>260</v>
      </c>
      <c r="G107" t="s">
        <v>13</v>
      </c>
      <c r="H107">
        <v>1560</v>
      </c>
      <c r="I107" t="s">
        <v>35</v>
      </c>
      <c r="J107" t="s">
        <v>15</v>
      </c>
      <c r="K107" t="str">
        <f t="shared" si="1"/>
        <v>High</v>
      </c>
    </row>
    <row r="108" spans="1:11" x14ac:dyDescent="0.3">
      <c r="A108" s="12">
        <v>45729</v>
      </c>
      <c r="B108" t="s">
        <v>158</v>
      </c>
      <c r="C108" t="s">
        <v>33</v>
      </c>
      <c r="D108" t="s">
        <v>34</v>
      </c>
      <c r="E108">
        <v>4</v>
      </c>
      <c r="F108">
        <v>55</v>
      </c>
      <c r="G108" t="s">
        <v>13</v>
      </c>
      <c r="H108">
        <v>220</v>
      </c>
      <c r="I108" t="s">
        <v>14</v>
      </c>
      <c r="J108" t="s">
        <v>56</v>
      </c>
      <c r="K108" t="str">
        <f t="shared" si="1"/>
        <v>Medium</v>
      </c>
    </row>
    <row r="109" spans="1:11" x14ac:dyDescent="0.3">
      <c r="A109" s="12">
        <v>45670</v>
      </c>
      <c r="B109" t="s">
        <v>159</v>
      </c>
      <c r="C109" t="s">
        <v>79</v>
      </c>
      <c r="D109" t="s">
        <v>64</v>
      </c>
      <c r="E109">
        <v>4</v>
      </c>
      <c r="F109">
        <v>20</v>
      </c>
      <c r="G109" t="s">
        <v>23</v>
      </c>
      <c r="H109">
        <v>80</v>
      </c>
      <c r="I109" t="s">
        <v>28</v>
      </c>
      <c r="J109" t="s">
        <v>20</v>
      </c>
      <c r="K109" t="str">
        <f t="shared" si="1"/>
        <v>Low</v>
      </c>
    </row>
    <row r="110" spans="1:11" x14ac:dyDescent="0.3">
      <c r="A110" s="12">
        <v>45732</v>
      </c>
      <c r="B110" t="s">
        <v>160</v>
      </c>
      <c r="C110" t="s">
        <v>33</v>
      </c>
      <c r="D110" t="s">
        <v>34</v>
      </c>
      <c r="E110">
        <v>7</v>
      </c>
      <c r="F110">
        <v>55</v>
      </c>
      <c r="G110" t="s">
        <v>19</v>
      </c>
      <c r="H110">
        <v>385</v>
      </c>
      <c r="I110" t="s">
        <v>14</v>
      </c>
      <c r="J110" t="s">
        <v>45</v>
      </c>
      <c r="K110" t="str">
        <f t="shared" si="1"/>
        <v>Medium</v>
      </c>
    </row>
    <row r="111" spans="1:11" x14ac:dyDescent="0.3">
      <c r="A111" s="12">
        <v>45705</v>
      </c>
      <c r="B111" t="s">
        <v>161</v>
      </c>
      <c r="C111" t="s">
        <v>52</v>
      </c>
      <c r="D111" t="s">
        <v>27</v>
      </c>
      <c r="E111">
        <v>6</v>
      </c>
      <c r="F111">
        <v>80</v>
      </c>
      <c r="G111" t="s">
        <v>23</v>
      </c>
      <c r="H111">
        <v>480</v>
      </c>
      <c r="I111" t="s">
        <v>35</v>
      </c>
      <c r="J111" t="s">
        <v>20</v>
      </c>
      <c r="K111" t="str">
        <f t="shared" si="1"/>
        <v>Medium</v>
      </c>
    </row>
    <row r="112" spans="1:11" x14ac:dyDescent="0.3">
      <c r="A112" s="12">
        <v>45709</v>
      </c>
      <c r="B112" t="s">
        <v>162</v>
      </c>
      <c r="C112" t="s">
        <v>88</v>
      </c>
      <c r="D112" t="s">
        <v>69</v>
      </c>
      <c r="E112">
        <v>2</v>
      </c>
      <c r="F112">
        <v>200</v>
      </c>
      <c r="G112" t="s">
        <v>23</v>
      </c>
      <c r="H112">
        <v>400</v>
      </c>
      <c r="I112" t="s">
        <v>35</v>
      </c>
      <c r="J112" t="s">
        <v>36</v>
      </c>
      <c r="K112" t="str">
        <f t="shared" si="1"/>
        <v>Medium</v>
      </c>
    </row>
    <row r="113" spans="1:11" x14ac:dyDescent="0.3">
      <c r="A113" s="12">
        <v>45658</v>
      </c>
      <c r="B113" t="s">
        <v>163</v>
      </c>
      <c r="C113" t="s">
        <v>88</v>
      </c>
      <c r="D113" t="s">
        <v>69</v>
      </c>
      <c r="E113">
        <v>3</v>
      </c>
      <c r="F113">
        <v>200</v>
      </c>
      <c r="G113" t="s">
        <v>13</v>
      </c>
      <c r="H113">
        <v>600</v>
      </c>
      <c r="I113" t="s">
        <v>28</v>
      </c>
      <c r="J113" t="s">
        <v>15</v>
      </c>
      <c r="K113" t="str">
        <f t="shared" si="1"/>
        <v>High</v>
      </c>
    </row>
    <row r="114" spans="1:11" x14ac:dyDescent="0.3">
      <c r="A114" s="12">
        <v>45700</v>
      </c>
      <c r="B114" t="s">
        <v>164</v>
      </c>
      <c r="C114" t="s">
        <v>47</v>
      </c>
      <c r="D114" t="s">
        <v>48</v>
      </c>
      <c r="E114">
        <v>7</v>
      </c>
      <c r="F114">
        <v>120</v>
      </c>
      <c r="G114" t="s">
        <v>19</v>
      </c>
      <c r="H114">
        <v>840</v>
      </c>
      <c r="I114" t="s">
        <v>35</v>
      </c>
      <c r="J114" t="s">
        <v>15</v>
      </c>
      <c r="K114" t="str">
        <f t="shared" si="1"/>
        <v>High</v>
      </c>
    </row>
    <row r="115" spans="1:11" x14ac:dyDescent="0.3">
      <c r="A115" s="12">
        <v>45694</v>
      </c>
      <c r="B115" t="s">
        <v>165</v>
      </c>
      <c r="C115" t="s">
        <v>121</v>
      </c>
      <c r="D115" t="s">
        <v>69</v>
      </c>
      <c r="E115">
        <v>5</v>
      </c>
      <c r="F115">
        <v>50</v>
      </c>
      <c r="G115" t="s">
        <v>13</v>
      </c>
      <c r="H115">
        <v>250</v>
      </c>
      <c r="I115" t="s">
        <v>35</v>
      </c>
      <c r="J115" t="s">
        <v>56</v>
      </c>
      <c r="K115" t="str">
        <f t="shared" si="1"/>
        <v>Medium</v>
      </c>
    </row>
    <row r="116" spans="1:11" x14ac:dyDescent="0.3">
      <c r="A116" s="12">
        <v>45668</v>
      </c>
      <c r="B116" t="s">
        <v>166</v>
      </c>
      <c r="C116" t="s">
        <v>47</v>
      </c>
      <c r="D116" t="s">
        <v>48</v>
      </c>
      <c r="E116">
        <v>3</v>
      </c>
      <c r="F116">
        <v>120</v>
      </c>
      <c r="G116" t="s">
        <v>23</v>
      </c>
      <c r="H116">
        <v>360</v>
      </c>
      <c r="I116" t="s">
        <v>28</v>
      </c>
      <c r="J116" t="s">
        <v>24</v>
      </c>
      <c r="K116" t="str">
        <f t="shared" si="1"/>
        <v>Medium</v>
      </c>
    </row>
    <row r="117" spans="1:11" x14ac:dyDescent="0.3">
      <c r="A117" s="12">
        <v>45736</v>
      </c>
      <c r="B117" t="s">
        <v>167</v>
      </c>
      <c r="C117" t="s">
        <v>47</v>
      </c>
      <c r="D117" t="s">
        <v>48</v>
      </c>
      <c r="E117">
        <v>3</v>
      </c>
      <c r="F117">
        <v>120</v>
      </c>
      <c r="G117" t="s">
        <v>13</v>
      </c>
      <c r="H117">
        <v>360</v>
      </c>
      <c r="I117" t="s">
        <v>14</v>
      </c>
      <c r="J117" t="s">
        <v>56</v>
      </c>
      <c r="K117" t="str">
        <f t="shared" si="1"/>
        <v>Medium</v>
      </c>
    </row>
    <row r="118" spans="1:11" x14ac:dyDescent="0.3">
      <c r="A118" s="12">
        <v>45720</v>
      </c>
      <c r="B118" t="s">
        <v>168</v>
      </c>
      <c r="C118" t="s">
        <v>129</v>
      </c>
      <c r="D118" t="s">
        <v>34</v>
      </c>
      <c r="E118">
        <v>2</v>
      </c>
      <c r="F118">
        <v>60</v>
      </c>
      <c r="G118" t="s">
        <v>23</v>
      </c>
      <c r="H118">
        <v>120</v>
      </c>
      <c r="I118" t="s">
        <v>14</v>
      </c>
      <c r="J118" t="s">
        <v>31</v>
      </c>
      <c r="K118" t="str">
        <f t="shared" si="1"/>
        <v>Medium</v>
      </c>
    </row>
    <row r="119" spans="1:11" x14ac:dyDescent="0.3">
      <c r="A119" s="12">
        <v>45674</v>
      </c>
      <c r="B119" t="s">
        <v>169</v>
      </c>
      <c r="C119" t="s">
        <v>77</v>
      </c>
      <c r="D119" t="s">
        <v>69</v>
      </c>
      <c r="E119">
        <v>1</v>
      </c>
      <c r="F119">
        <v>150</v>
      </c>
      <c r="G119" t="s">
        <v>23</v>
      </c>
      <c r="H119">
        <v>150</v>
      </c>
      <c r="I119" t="s">
        <v>28</v>
      </c>
      <c r="J119" t="s">
        <v>36</v>
      </c>
      <c r="K119" t="str">
        <f t="shared" si="1"/>
        <v>Medium</v>
      </c>
    </row>
    <row r="120" spans="1:11" x14ac:dyDescent="0.3">
      <c r="A120" s="12">
        <v>45668</v>
      </c>
      <c r="B120" t="s">
        <v>170</v>
      </c>
      <c r="C120" t="s">
        <v>129</v>
      </c>
      <c r="D120" t="s">
        <v>34</v>
      </c>
      <c r="E120">
        <v>7</v>
      </c>
      <c r="F120">
        <v>60</v>
      </c>
      <c r="G120" t="s">
        <v>13</v>
      </c>
      <c r="H120">
        <v>420</v>
      </c>
      <c r="I120" t="s">
        <v>28</v>
      </c>
      <c r="J120" t="s">
        <v>24</v>
      </c>
      <c r="K120" t="str">
        <f t="shared" si="1"/>
        <v>Medium</v>
      </c>
    </row>
    <row r="121" spans="1:11" x14ac:dyDescent="0.3">
      <c r="A121" s="12">
        <v>45662</v>
      </c>
      <c r="B121" t="s">
        <v>171</v>
      </c>
      <c r="C121" t="s">
        <v>17</v>
      </c>
      <c r="D121" t="s">
        <v>18</v>
      </c>
      <c r="E121">
        <v>7</v>
      </c>
      <c r="F121">
        <v>30</v>
      </c>
      <c r="G121" t="s">
        <v>23</v>
      </c>
      <c r="H121">
        <v>210</v>
      </c>
      <c r="I121" t="s">
        <v>28</v>
      </c>
      <c r="J121" t="s">
        <v>45</v>
      </c>
      <c r="K121" t="str">
        <f t="shared" si="1"/>
        <v>Medium</v>
      </c>
    </row>
    <row r="122" spans="1:11" x14ac:dyDescent="0.3">
      <c r="A122" s="12">
        <v>45679</v>
      </c>
      <c r="B122" t="s">
        <v>172</v>
      </c>
      <c r="C122" t="s">
        <v>39</v>
      </c>
      <c r="D122" t="s">
        <v>12</v>
      </c>
      <c r="E122">
        <v>6</v>
      </c>
      <c r="F122">
        <v>300</v>
      </c>
      <c r="G122" t="s">
        <v>13</v>
      </c>
      <c r="H122">
        <v>1800</v>
      </c>
      <c r="I122" t="s">
        <v>28</v>
      </c>
      <c r="J122" t="s">
        <v>15</v>
      </c>
      <c r="K122" t="str">
        <f t="shared" si="1"/>
        <v>High</v>
      </c>
    </row>
    <row r="123" spans="1:11" x14ac:dyDescent="0.3">
      <c r="A123" s="12">
        <v>45727</v>
      </c>
      <c r="B123" t="s">
        <v>173</v>
      </c>
      <c r="C123" t="s">
        <v>17</v>
      </c>
      <c r="D123" t="s">
        <v>18</v>
      </c>
      <c r="E123">
        <v>5</v>
      </c>
      <c r="F123">
        <v>30</v>
      </c>
      <c r="G123" t="s">
        <v>19</v>
      </c>
      <c r="H123">
        <v>150</v>
      </c>
      <c r="I123" t="s">
        <v>14</v>
      </c>
      <c r="J123" t="s">
        <v>31</v>
      </c>
      <c r="K123" t="str">
        <f t="shared" si="1"/>
        <v>Medium</v>
      </c>
    </row>
    <row r="124" spans="1:11" x14ac:dyDescent="0.3">
      <c r="A124" s="12">
        <v>45712</v>
      </c>
      <c r="B124" t="s">
        <v>174</v>
      </c>
      <c r="C124" t="s">
        <v>129</v>
      </c>
      <c r="D124" t="s">
        <v>34</v>
      </c>
      <c r="E124">
        <v>8</v>
      </c>
      <c r="F124">
        <v>60</v>
      </c>
      <c r="G124" t="s">
        <v>13</v>
      </c>
      <c r="H124">
        <v>480</v>
      </c>
      <c r="I124" t="s">
        <v>35</v>
      </c>
      <c r="J124" t="s">
        <v>20</v>
      </c>
      <c r="K124" t="str">
        <f t="shared" si="1"/>
        <v>Medium</v>
      </c>
    </row>
    <row r="125" spans="1:11" x14ac:dyDescent="0.3">
      <c r="A125" s="12">
        <v>45706</v>
      </c>
      <c r="B125" t="s">
        <v>175</v>
      </c>
      <c r="C125" t="s">
        <v>100</v>
      </c>
      <c r="D125" t="s">
        <v>64</v>
      </c>
      <c r="E125">
        <v>8</v>
      </c>
      <c r="F125">
        <v>25</v>
      </c>
      <c r="G125" t="s">
        <v>23</v>
      </c>
      <c r="H125">
        <v>200</v>
      </c>
      <c r="I125" t="s">
        <v>35</v>
      </c>
      <c r="J125" t="s">
        <v>31</v>
      </c>
      <c r="K125" t="str">
        <f t="shared" si="1"/>
        <v>Medium</v>
      </c>
    </row>
    <row r="126" spans="1:11" x14ac:dyDescent="0.3">
      <c r="A126" s="12">
        <v>45742</v>
      </c>
      <c r="B126" t="s">
        <v>176</v>
      </c>
      <c r="C126" t="s">
        <v>59</v>
      </c>
      <c r="D126" t="s">
        <v>34</v>
      </c>
      <c r="E126">
        <v>7</v>
      </c>
      <c r="F126">
        <v>45</v>
      </c>
      <c r="G126" t="s">
        <v>23</v>
      </c>
      <c r="H126">
        <v>315</v>
      </c>
      <c r="I126" t="s">
        <v>14</v>
      </c>
      <c r="J126" t="s">
        <v>15</v>
      </c>
      <c r="K126" t="str">
        <f t="shared" si="1"/>
        <v>Medium</v>
      </c>
    </row>
    <row r="127" spans="1:11" x14ac:dyDescent="0.3">
      <c r="A127" s="12">
        <v>45696</v>
      </c>
      <c r="B127" t="s">
        <v>177</v>
      </c>
      <c r="C127" t="s">
        <v>100</v>
      </c>
      <c r="D127" t="s">
        <v>64</v>
      </c>
      <c r="E127">
        <v>10</v>
      </c>
      <c r="F127">
        <v>25</v>
      </c>
      <c r="G127" t="s">
        <v>23</v>
      </c>
      <c r="H127">
        <v>250</v>
      </c>
      <c r="I127" t="s">
        <v>35</v>
      </c>
      <c r="J127" t="s">
        <v>24</v>
      </c>
      <c r="K127" t="str">
        <f t="shared" si="1"/>
        <v>Medium</v>
      </c>
    </row>
    <row r="128" spans="1:11" x14ac:dyDescent="0.3">
      <c r="A128" s="12">
        <v>45709</v>
      </c>
      <c r="B128" t="s">
        <v>178</v>
      </c>
      <c r="C128" t="s">
        <v>129</v>
      </c>
      <c r="D128" t="s">
        <v>34</v>
      </c>
      <c r="E128">
        <v>10</v>
      </c>
      <c r="F128">
        <v>60</v>
      </c>
      <c r="G128" t="s">
        <v>19</v>
      </c>
      <c r="H128">
        <v>600</v>
      </c>
      <c r="I128" t="s">
        <v>35</v>
      </c>
      <c r="J128" t="s">
        <v>36</v>
      </c>
      <c r="K128" t="str">
        <f t="shared" si="1"/>
        <v>High</v>
      </c>
    </row>
    <row r="129" spans="1:11" x14ac:dyDescent="0.3">
      <c r="A129" s="12">
        <v>45734</v>
      </c>
      <c r="B129" t="s">
        <v>179</v>
      </c>
      <c r="C129" t="s">
        <v>33</v>
      </c>
      <c r="D129" t="s">
        <v>34</v>
      </c>
      <c r="E129">
        <v>2</v>
      </c>
      <c r="F129">
        <v>55</v>
      </c>
      <c r="G129" t="s">
        <v>19</v>
      </c>
      <c r="H129">
        <v>110</v>
      </c>
      <c r="I129" t="s">
        <v>14</v>
      </c>
      <c r="J129" t="s">
        <v>31</v>
      </c>
      <c r="K129" t="str">
        <f t="shared" si="1"/>
        <v>Medium</v>
      </c>
    </row>
    <row r="130" spans="1:11" x14ac:dyDescent="0.3">
      <c r="A130" s="12">
        <v>45667</v>
      </c>
      <c r="B130" t="s">
        <v>180</v>
      </c>
      <c r="C130" t="s">
        <v>71</v>
      </c>
      <c r="D130" t="s">
        <v>18</v>
      </c>
      <c r="E130">
        <v>1</v>
      </c>
      <c r="F130">
        <v>35</v>
      </c>
      <c r="G130" t="s">
        <v>19</v>
      </c>
      <c r="H130">
        <v>35</v>
      </c>
      <c r="I130" t="s">
        <v>28</v>
      </c>
      <c r="J130" t="s">
        <v>36</v>
      </c>
      <c r="K130" t="str">
        <f t="shared" si="1"/>
        <v>Low</v>
      </c>
    </row>
    <row r="131" spans="1:11" x14ac:dyDescent="0.3">
      <c r="A131" s="12">
        <v>45733</v>
      </c>
      <c r="B131" t="s">
        <v>181</v>
      </c>
      <c r="C131" t="s">
        <v>11</v>
      </c>
      <c r="D131" t="s">
        <v>12</v>
      </c>
      <c r="E131">
        <v>5</v>
      </c>
      <c r="F131">
        <v>6</v>
      </c>
      <c r="G131" t="s">
        <v>23</v>
      </c>
      <c r="H131">
        <v>30</v>
      </c>
      <c r="I131" t="s">
        <v>14</v>
      </c>
      <c r="J131" t="s">
        <v>20</v>
      </c>
      <c r="K131" t="str">
        <f t="shared" ref="K131:K194" si="2">IF(H131&lt;=100,"Low",IF(H131&lt;=500,"Medium","High"))</f>
        <v>Low</v>
      </c>
    </row>
    <row r="132" spans="1:11" x14ac:dyDescent="0.3">
      <c r="A132" s="12">
        <v>45696</v>
      </c>
      <c r="B132" t="s">
        <v>182</v>
      </c>
      <c r="C132" t="s">
        <v>11</v>
      </c>
      <c r="D132" t="s">
        <v>12</v>
      </c>
      <c r="E132">
        <v>5</v>
      </c>
      <c r="F132">
        <v>6</v>
      </c>
      <c r="G132" t="s">
        <v>13</v>
      </c>
      <c r="H132">
        <v>30</v>
      </c>
      <c r="I132" t="s">
        <v>35</v>
      </c>
      <c r="J132" t="s">
        <v>24</v>
      </c>
      <c r="K132" t="str">
        <f t="shared" si="2"/>
        <v>Low</v>
      </c>
    </row>
    <row r="133" spans="1:11" x14ac:dyDescent="0.3">
      <c r="A133" s="12">
        <v>45679</v>
      </c>
      <c r="B133" t="s">
        <v>183</v>
      </c>
      <c r="C133" t="s">
        <v>59</v>
      </c>
      <c r="D133" t="s">
        <v>34</v>
      </c>
      <c r="E133">
        <v>8</v>
      </c>
      <c r="F133">
        <v>45</v>
      </c>
      <c r="G133" t="s">
        <v>23</v>
      </c>
      <c r="H133">
        <v>360</v>
      </c>
      <c r="I133" t="s">
        <v>28</v>
      </c>
      <c r="J133" t="s">
        <v>15</v>
      </c>
      <c r="K133" t="str">
        <f t="shared" si="2"/>
        <v>Medium</v>
      </c>
    </row>
    <row r="134" spans="1:11" x14ac:dyDescent="0.3">
      <c r="A134" s="12">
        <v>45697</v>
      </c>
      <c r="B134" t="s">
        <v>184</v>
      </c>
      <c r="C134" t="s">
        <v>71</v>
      </c>
      <c r="D134" t="s">
        <v>18</v>
      </c>
      <c r="E134">
        <v>10</v>
      </c>
      <c r="F134">
        <v>35</v>
      </c>
      <c r="G134" t="s">
        <v>13</v>
      </c>
      <c r="H134">
        <v>350</v>
      </c>
      <c r="I134" t="s">
        <v>35</v>
      </c>
      <c r="J134" t="s">
        <v>45</v>
      </c>
      <c r="K134" t="str">
        <f t="shared" si="2"/>
        <v>Medium</v>
      </c>
    </row>
    <row r="135" spans="1:11" x14ac:dyDescent="0.3">
      <c r="A135" s="12">
        <v>45725</v>
      </c>
      <c r="B135" t="s">
        <v>185</v>
      </c>
      <c r="C135" t="s">
        <v>104</v>
      </c>
      <c r="D135" t="s">
        <v>48</v>
      </c>
      <c r="E135">
        <v>4</v>
      </c>
      <c r="F135">
        <v>30</v>
      </c>
      <c r="G135" t="s">
        <v>19</v>
      </c>
      <c r="H135">
        <v>120</v>
      </c>
      <c r="I135" t="s">
        <v>14</v>
      </c>
      <c r="J135" t="s">
        <v>45</v>
      </c>
      <c r="K135" t="str">
        <f t="shared" si="2"/>
        <v>Medium</v>
      </c>
    </row>
    <row r="136" spans="1:11" x14ac:dyDescent="0.3">
      <c r="A136" s="12">
        <v>45658</v>
      </c>
      <c r="B136" t="s">
        <v>186</v>
      </c>
      <c r="C136" t="s">
        <v>71</v>
      </c>
      <c r="D136" t="s">
        <v>18</v>
      </c>
      <c r="E136">
        <v>6</v>
      </c>
      <c r="F136">
        <v>35</v>
      </c>
      <c r="G136" t="s">
        <v>19</v>
      </c>
      <c r="H136">
        <v>210</v>
      </c>
      <c r="I136" t="s">
        <v>28</v>
      </c>
      <c r="J136" t="s">
        <v>15</v>
      </c>
      <c r="K136" t="str">
        <f t="shared" si="2"/>
        <v>Medium</v>
      </c>
    </row>
    <row r="137" spans="1:11" x14ac:dyDescent="0.3">
      <c r="A137" s="12">
        <v>45742</v>
      </c>
      <c r="B137" t="s">
        <v>187</v>
      </c>
      <c r="C137" t="s">
        <v>22</v>
      </c>
      <c r="D137" t="s">
        <v>12</v>
      </c>
      <c r="E137">
        <v>7</v>
      </c>
      <c r="F137">
        <v>260</v>
      </c>
      <c r="G137" t="s">
        <v>23</v>
      </c>
      <c r="H137">
        <v>1820</v>
      </c>
      <c r="I137" t="s">
        <v>14</v>
      </c>
      <c r="J137" t="s">
        <v>15</v>
      </c>
      <c r="K137" t="str">
        <f t="shared" si="2"/>
        <v>High</v>
      </c>
    </row>
    <row r="138" spans="1:11" x14ac:dyDescent="0.3">
      <c r="A138" s="12">
        <v>45664</v>
      </c>
      <c r="B138" t="s">
        <v>188</v>
      </c>
      <c r="C138" t="s">
        <v>22</v>
      </c>
      <c r="D138" t="s">
        <v>12</v>
      </c>
      <c r="E138">
        <v>8</v>
      </c>
      <c r="F138">
        <v>260</v>
      </c>
      <c r="G138" t="s">
        <v>13</v>
      </c>
      <c r="H138">
        <v>2080</v>
      </c>
      <c r="I138" t="s">
        <v>28</v>
      </c>
      <c r="J138" t="s">
        <v>31</v>
      </c>
      <c r="K138" t="str">
        <f t="shared" si="2"/>
        <v>High</v>
      </c>
    </row>
    <row r="139" spans="1:11" x14ac:dyDescent="0.3">
      <c r="A139" s="12">
        <v>45694</v>
      </c>
      <c r="B139" t="s">
        <v>189</v>
      </c>
      <c r="C139" t="s">
        <v>129</v>
      </c>
      <c r="D139" t="s">
        <v>34</v>
      </c>
      <c r="E139">
        <v>6</v>
      </c>
      <c r="F139">
        <v>60</v>
      </c>
      <c r="G139" t="s">
        <v>23</v>
      </c>
      <c r="H139">
        <v>360</v>
      </c>
      <c r="I139" t="s">
        <v>35</v>
      </c>
      <c r="J139" t="s">
        <v>56</v>
      </c>
      <c r="K139" t="str">
        <f t="shared" si="2"/>
        <v>Medium</v>
      </c>
    </row>
    <row r="140" spans="1:11" x14ac:dyDescent="0.3">
      <c r="A140" s="12">
        <v>45729</v>
      </c>
      <c r="B140" t="s">
        <v>190</v>
      </c>
      <c r="C140" t="s">
        <v>17</v>
      </c>
      <c r="D140" t="s">
        <v>18</v>
      </c>
      <c r="E140">
        <v>10</v>
      </c>
      <c r="F140">
        <v>30</v>
      </c>
      <c r="G140" t="s">
        <v>13</v>
      </c>
      <c r="H140">
        <v>300</v>
      </c>
      <c r="I140" t="s">
        <v>14</v>
      </c>
      <c r="J140" t="s">
        <v>56</v>
      </c>
      <c r="K140" t="str">
        <f t="shared" si="2"/>
        <v>Medium</v>
      </c>
    </row>
    <row r="141" spans="1:11" x14ac:dyDescent="0.3">
      <c r="A141" s="12">
        <v>45705</v>
      </c>
      <c r="B141" t="s">
        <v>191</v>
      </c>
      <c r="C141" t="s">
        <v>71</v>
      </c>
      <c r="D141" t="s">
        <v>18</v>
      </c>
      <c r="E141">
        <v>7</v>
      </c>
      <c r="F141">
        <v>35</v>
      </c>
      <c r="G141" t="s">
        <v>19</v>
      </c>
      <c r="H141">
        <v>245</v>
      </c>
      <c r="I141" t="s">
        <v>35</v>
      </c>
      <c r="J141" t="s">
        <v>20</v>
      </c>
      <c r="K141" t="str">
        <f t="shared" si="2"/>
        <v>Medium</v>
      </c>
    </row>
    <row r="142" spans="1:11" x14ac:dyDescent="0.3">
      <c r="A142" s="12">
        <v>45693</v>
      </c>
      <c r="B142" t="s">
        <v>192</v>
      </c>
      <c r="C142" t="s">
        <v>17</v>
      </c>
      <c r="D142" t="s">
        <v>18</v>
      </c>
      <c r="E142">
        <v>9</v>
      </c>
      <c r="F142">
        <v>30</v>
      </c>
      <c r="G142" t="s">
        <v>13</v>
      </c>
      <c r="H142">
        <v>270</v>
      </c>
      <c r="I142" t="s">
        <v>35</v>
      </c>
      <c r="J142" t="s">
        <v>15</v>
      </c>
      <c r="K142" t="str">
        <f t="shared" si="2"/>
        <v>Medium</v>
      </c>
    </row>
    <row r="143" spans="1:11" x14ac:dyDescent="0.3">
      <c r="A143" s="12">
        <v>45675</v>
      </c>
      <c r="B143" t="s">
        <v>193</v>
      </c>
      <c r="C143" t="s">
        <v>17</v>
      </c>
      <c r="D143" t="s">
        <v>18</v>
      </c>
      <c r="E143">
        <v>3</v>
      </c>
      <c r="F143">
        <v>30</v>
      </c>
      <c r="G143" t="s">
        <v>13</v>
      </c>
      <c r="H143">
        <v>90</v>
      </c>
      <c r="I143" t="s">
        <v>28</v>
      </c>
      <c r="J143" t="s">
        <v>24</v>
      </c>
      <c r="K143" t="str">
        <f t="shared" si="2"/>
        <v>Low</v>
      </c>
    </row>
    <row r="144" spans="1:11" x14ac:dyDescent="0.3">
      <c r="A144" s="12">
        <v>45699</v>
      </c>
      <c r="B144" t="s">
        <v>194</v>
      </c>
      <c r="C144" t="s">
        <v>100</v>
      </c>
      <c r="D144" t="s">
        <v>64</v>
      </c>
      <c r="E144">
        <v>3</v>
      </c>
      <c r="F144">
        <v>25</v>
      </c>
      <c r="G144" t="s">
        <v>13</v>
      </c>
      <c r="H144">
        <v>75</v>
      </c>
      <c r="I144" t="s">
        <v>35</v>
      </c>
      <c r="J144" t="s">
        <v>31</v>
      </c>
      <c r="K144" t="str">
        <f t="shared" si="2"/>
        <v>Low</v>
      </c>
    </row>
    <row r="145" spans="1:11" x14ac:dyDescent="0.3">
      <c r="A145" s="12">
        <v>45691</v>
      </c>
      <c r="B145" t="s">
        <v>195</v>
      </c>
      <c r="C145" t="s">
        <v>26</v>
      </c>
      <c r="D145" t="s">
        <v>27</v>
      </c>
      <c r="E145">
        <v>10</v>
      </c>
      <c r="F145">
        <v>60</v>
      </c>
      <c r="G145" t="s">
        <v>19</v>
      </c>
      <c r="H145">
        <v>600</v>
      </c>
      <c r="I145" t="s">
        <v>35</v>
      </c>
      <c r="J145" t="s">
        <v>20</v>
      </c>
      <c r="K145" t="str">
        <f t="shared" si="2"/>
        <v>High</v>
      </c>
    </row>
    <row r="146" spans="1:11" x14ac:dyDescent="0.3">
      <c r="A146" s="12">
        <v>45700</v>
      </c>
      <c r="B146" t="s">
        <v>196</v>
      </c>
      <c r="C146" t="s">
        <v>88</v>
      </c>
      <c r="D146" t="s">
        <v>69</v>
      </c>
      <c r="E146">
        <v>4</v>
      </c>
      <c r="F146">
        <v>200</v>
      </c>
      <c r="G146" t="s">
        <v>19</v>
      </c>
      <c r="H146">
        <v>800</v>
      </c>
      <c r="I146" t="s">
        <v>35</v>
      </c>
      <c r="J146" t="s">
        <v>15</v>
      </c>
      <c r="K146" t="str">
        <f t="shared" si="2"/>
        <v>High</v>
      </c>
    </row>
    <row r="147" spans="1:11" x14ac:dyDescent="0.3">
      <c r="A147" s="12">
        <v>45669</v>
      </c>
      <c r="B147" t="s">
        <v>197</v>
      </c>
      <c r="C147" t="s">
        <v>88</v>
      </c>
      <c r="D147" t="s">
        <v>69</v>
      </c>
      <c r="E147">
        <v>5</v>
      </c>
      <c r="F147">
        <v>200</v>
      </c>
      <c r="G147" t="s">
        <v>19</v>
      </c>
      <c r="H147">
        <v>1000</v>
      </c>
      <c r="I147" t="s">
        <v>28</v>
      </c>
      <c r="J147" t="s">
        <v>45</v>
      </c>
      <c r="K147" t="str">
        <f t="shared" si="2"/>
        <v>High</v>
      </c>
    </row>
    <row r="148" spans="1:11" x14ac:dyDescent="0.3">
      <c r="A148" s="12">
        <v>45691</v>
      </c>
      <c r="B148" t="s">
        <v>198</v>
      </c>
      <c r="C148" t="s">
        <v>68</v>
      </c>
      <c r="D148" t="s">
        <v>69</v>
      </c>
      <c r="E148">
        <v>9</v>
      </c>
      <c r="F148">
        <v>70</v>
      </c>
      <c r="G148" t="s">
        <v>19</v>
      </c>
      <c r="H148">
        <v>630</v>
      </c>
      <c r="I148" t="s">
        <v>35</v>
      </c>
      <c r="J148" t="s">
        <v>20</v>
      </c>
      <c r="K148" t="str">
        <f t="shared" si="2"/>
        <v>High</v>
      </c>
    </row>
    <row r="149" spans="1:11" x14ac:dyDescent="0.3">
      <c r="A149" s="12">
        <v>45678</v>
      </c>
      <c r="B149" t="s">
        <v>199</v>
      </c>
      <c r="C149" t="s">
        <v>100</v>
      </c>
      <c r="D149" t="s">
        <v>64</v>
      </c>
      <c r="E149">
        <v>2</v>
      </c>
      <c r="F149">
        <v>25</v>
      </c>
      <c r="G149" t="s">
        <v>19</v>
      </c>
      <c r="H149">
        <v>50</v>
      </c>
      <c r="I149" t="s">
        <v>28</v>
      </c>
      <c r="J149" t="s">
        <v>31</v>
      </c>
      <c r="K149" t="str">
        <f t="shared" si="2"/>
        <v>Low</v>
      </c>
    </row>
    <row r="150" spans="1:11" x14ac:dyDescent="0.3">
      <c r="A150" s="12">
        <v>45723</v>
      </c>
      <c r="B150" t="s">
        <v>200</v>
      </c>
      <c r="C150" t="s">
        <v>100</v>
      </c>
      <c r="D150" t="s">
        <v>64</v>
      </c>
      <c r="E150">
        <v>7</v>
      </c>
      <c r="F150">
        <v>25</v>
      </c>
      <c r="G150" t="s">
        <v>19</v>
      </c>
      <c r="H150">
        <v>175</v>
      </c>
      <c r="I150" t="s">
        <v>14</v>
      </c>
      <c r="J150" t="s">
        <v>36</v>
      </c>
      <c r="K150" t="str">
        <f t="shared" si="2"/>
        <v>Medium</v>
      </c>
    </row>
    <row r="151" spans="1:11" x14ac:dyDescent="0.3">
      <c r="A151" s="12">
        <v>45731</v>
      </c>
      <c r="B151" t="s">
        <v>201</v>
      </c>
      <c r="C151" t="s">
        <v>59</v>
      </c>
      <c r="D151" t="s">
        <v>34</v>
      </c>
      <c r="E151">
        <v>9</v>
      </c>
      <c r="F151">
        <v>45</v>
      </c>
      <c r="G151" t="s">
        <v>13</v>
      </c>
      <c r="H151">
        <v>405</v>
      </c>
      <c r="I151" t="s">
        <v>14</v>
      </c>
      <c r="J151" t="s">
        <v>24</v>
      </c>
      <c r="K151" t="str">
        <f t="shared" si="2"/>
        <v>Medium</v>
      </c>
    </row>
    <row r="152" spans="1:11" x14ac:dyDescent="0.3">
      <c r="A152" s="12">
        <v>45693</v>
      </c>
      <c r="B152" t="s">
        <v>202</v>
      </c>
      <c r="C152" t="s">
        <v>104</v>
      </c>
      <c r="D152" t="s">
        <v>48</v>
      </c>
      <c r="E152">
        <v>7</v>
      </c>
      <c r="F152">
        <v>30</v>
      </c>
      <c r="G152" t="s">
        <v>13</v>
      </c>
      <c r="H152">
        <v>210</v>
      </c>
      <c r="I152" t="s">
        <v>35</v>
      </c>
      <c r="J152" t="s">
        <v>15</v>
      </c>
      <c r="K152" t="str">
        <f t="shared" si="2"/>
        <v>Medium</v>
      </c>
    </row>
    <row r="153" spans="1:11" x14ac:dyDescent="0.3">
      <c r="A153" s="12">
        <v>45718</v>
      </c>
      <c r="B153" t="s">
        <v>203</v>
      </c>
      <c r="C153" t="s">
        <v>129</v>
      </c>
      <c r="D153" t="s">
        <v>34</v>
      </c>
      <c r="E153">
        <v>3</v>
      </c>
      <c r="F153">
        <v>60</v>
      </c>
      <c r="G153" t="s">
        <v>13</v>
      </c>
      <c r="H153">
        <v>180</v>
      </c>
      <c r="I153" t="s">
        <v>14</v>
      </c>
      <c r="J153" t="s">
        <v>45</v>
      </c>
      <c r="K153" t="str">
        <f t="shared" si="2"/>
        <v>Medium</v>
      </c>
    </row>
    <row r="154" spans="1:11" x14ac:dyDescent="0.3">
      <c r="A154" s="12">
        <v>45742</v>
      </c>
      <c r="B154" t="s">
        <v>204</v>
      </c>
      <c r="C154" t="s">
        <v>129</v>
      </c>
      <c r="D154" t="s">
        <v>34</v>
      </c>
      <c r="E154">
        <v>6</v>
      </c>
      <c r="F154">
        <v>60</v>
      </c>
      <c r="G154" t="s">
        <v>13</v>
      </c>
      <c r="H154">
        <v>360</v>
      </c>
      <c r="I154" t="s">
        <v>14</v>
      </c>
      <c r="J154" t="s">
        <v>15</v>
      </c>
      <c r="K154" t="str">
        <f t="shared" si="2"/>
        <v>Medium</v>
      </c>
    </row>
    <row r="155" spans="1:11" x14ac:dyDescent="0.3">
      <c r="A155" s="12">
        <v>45719</v>
      </c>
      <c r="B155" t="s">
        <v>205</v>
      </c>
      <c r="C155" t="s">
        <v>100</v>
      </c>
      <c r="D155" t="s">
        <v>64</v>
      </c>
      <c r="E155">
        <v>6</v>
      </c>
      <c r="F155">
        <v>25</v>
      </c>
      <c r="G155" t="s">
        <v>23</v>
      </c>
      <c r="H155">
        <v>150</v>
      </c>
      <c r="I155" t="s">
        <v>14</v>
      </c>
      <c r="J155" t="s">
        <v>20</v>
      </c>
      <c r="K155" t="str">
        <f t="shared" si="2"/>
        <v>Medium</v>
      </c>
    </row>
    <row r="156" spans="1:11" x14ac:dyDescent="0.3">
      <c r="A156" s="12">
        <v>45718</v>
      </c>
      <c r="B156" t="s">
        <v>206</v>
      </c>
      <c r="C156" t="s">
        <v>71</v>
      </c>
      <c r="D156" t="s">
        <v>18</v>
      </c>
      <c r="E156">
        <v>6</v>
      </c>
      <c r="F156">
        <v>35</v>
      </c>
      <c r="G156" t="s">
        <v>23</v>
      </c>
      <c r="H156">
        <v>210</v>
      </c>
      <c r="I156" t="s">
        <v>14</v>
      </c>
      <c r="J156" t="s">
        <v>45</v>
      </c>
      <c r="K156" t="str">
        <f t="shared" si="2"/>
        <v>Medium</v>
      </c>
    </row>
    <row r="157" spans="1:11" x14ac:dyDescent="0.3">
      <c r="A157" s="12">
        <v>45688</v>
      </c>
      <c r="B157" t="s">
        <v>207</v>
      </c>
      <c r="C157" t="s">
        <v>42</v>
      </c>
      <c r="D157" t="s">
        <v>43</v>
      </c>
      <c r="E157">
        <v>9</v>
      </c>
      <c r="F157">
        <v>40</v>
      </c>
      <c r="G157" t="s">
        <v>19</v>
      </c>
      <c r="H157">
        <v>360</v>
      </c>
      <c r="I157" t="s">
        <v>28</v>
      </c>
      <c r="J157" t="s">
        <v>36</v>
      </c>
      <c r="K157" t="str">
        <f t="shared" si="2"/>
        <v>Medium</v>
      </c>
    </row>
    <row r="158" spans="1:11" x14ac:dyDescent="0.3">
      <c r="A158" s="12">
        <v>45675</v>
      </c>
      <c r="B158" t="s">
        <v>208</v>
      </c>
      <c r="C158" t="s">
        <v>121</v>
      </c>
      <c r="D158" t="s">
        <v>69</v>
      </c>
      <c r="E158">
        <v>5</v>
      </c>
      <c r="F158">
        <v>50</v>
      </c>
      <c r="G158" t="s">
        <v>23</v>
      </c>
      <c r="H158">
        <v>250</v>
      </c>
      <c r="I158" t="s">
        <v>28</v>
      </c>
      <c r="J158" t="s">
        <v>24</v>
      </c>
      <c r="K158" t="str">
        <f t="shared" si="2"/>
        <v>Medium</v>
      </c>
    </row>
    <row r="159" spans="1:11" x14ac:dyDescent="0.3">
      <c r="A159" s="12">
        <v>45680</v>
      </c>
      <c r="B159" t="s">
        <v>209</v>
      </c>
      <c r="C159" t="s">
        <v>33</v>
      </c>
      <c r="D159" t="s">
        <v>34</v>
      </c>
      <c r="E159">
        <v>9</v>
      </c>
      <c r="F159">
        <v>55</v>
      </c>
      <c r="G159" t="s">
        <v>19</v>
      </c>
      <c r="H159">
        <v>495</v>
      </c>
      <c r="I159" t="s">
        <v>28</v>
      </c>
      <c r="J159" t="s">
        <v>56</v>
      </c>
      <c r="K159" t="str">
        <f t="shared" si="2"/>
        <v>Medium</v>
      </c>
    </row>
    <row r="160" spans="1:11" x14ac:dyDescent="0.3">
      <c r="A160" s="12">
        <v>45710</v>
      </c>
      <c r="B160" t="s">
        <v>210</v>
      </c>
      <c r="C160" t="s">
        <v>104</v>
      </c>
      <c r="D160" t="s">
        <v>48</v>
      </c>
      <c r="E160">
        <v>10</v>
      </c>
      <c r="F160">
        <v>30</v>
      </c>
      <c r="G160" t="s">
        <v>19</v>
      </c>
      <c r="H160">
        <v>300</v>
      </c>
      <c r="I160" t="s">
        <v>35</v>
      </c>
      <c r="J160" t="s">
        <v>24</v>
      </c>
      <c r="K160" t="str">
        <f t="shared" si="2"/>
        <v>Medium</v>
      </c>
    </row>
    <row r="161" spans="1:11" x14ac:dyDescent="0.3">
      <c r="A161" s="12">
        <v>45708</v>
      </c>
      <c r="B161" t="s">
        <v>211</v>
      </c>
      <c r="C161" t="s">
        <v>39</v>
      </c>
      <c r="D161" t="s">
        <v>12</v>
      </c>
      <c r="E161">
        <v>1</v>
      </c>
      <c r="F161">
        <v>300</v>
      </c>
      <c r="G161" t="s">
        <v>23</v>
      </c>
      <c r="H161">
        <v>300</v>
      </c>
      <c r="I161" t="s">
        <v>35</v>
      </c>
      <c r="J161" t="s">
        <v>56</v>
      </c>
      <c r="K161" t="str">
        <f t="shared" si="2"/>
        <v>Medium</v>
      </c>
    </row>
    <row r="162" spans="1:11" x14ac:dyDescent="0.3">
      <c r="A162" s="12">
        <v>45671</v>
      </c>
      <c r="B162" t="s">
        <v>212</v>
      </c>
      <c r="C162" t="s">
        <v>129</v>
      </c>
      <c r="D162" t="s">
        <v>34</v>
      </c>
      <c r="E162">
        <v>10</v>
      </c>
      <c r="F162">
        <v>60</v>
      </c>
      <c r="G162" t="s">
        <v>19</v>
      </c>
      <c r="H162">
        <v>600</v>
      </c>
      <c r="I162" t="s">
        <v>28</v>
      </c>
      <c r="J162" t="s">
        <v>31</v>
      </c>
      <c r="K162" t="str">
        <f t="shared" si="2"/>
        <v>High</v>
      </c>
    </row>
    <row r="163" spans="1:11" x14ac:dyDescent="0.3">
      <c r="A163" s="12">
        <v>45730</v>
      </c>
      <c r="B163" t="s">
        <v>213</v>
      </c>
      <c r="C163" t="s">
        <v>88</v>
      </c>
      <c r="D163" t="s">
        <v>69</v>
      </c>
      <c r="E163">
        <v>3</v>
      </c>
      <c r="F163">
        <v>200</v>
      </c>
      <c r="G163" t="s">
        <v>13</v>
      </c>
      <c r="H163">
        <v>600</v>
      </c>
      <c r="I163" t="s">
        <v>14</v>
      </c>
      <c r="J163" t="s">
        <v>36</v>
      </c>
      <c r="K163" t="str">
        <f t="shared" si="2"/>
        <v>High</v>
      </c>
    </row>
    <row r="164" spans="1:11" x14ac:dyDescent="0.3">
      <c r="A164" s="12">
        <v>45690</v>
      </c>
      <c r="B164" t="s">
        <v>214</v>
      </c>
      <c r="C164" t="s">
        <v>39</v>
      </c>
      <c r="D164" t="s">
        <v>12</v>
      </c>
      <c r="E164">
        <v>1</v>
      </c>
      <c r="F164">
        <v>300</v>
      </c>
      <c r="G164" t="s">
        <v>13</v>
      </c>
      <c r="H164">
        <v>300</v>
      </c>
      <c r="I164" t="s">
        <v>35</v>
      </c>
      <c r="J164" t="s">
        <v>45</v>
      </c>
      <c r="K164" t="str">
        <f t="shared" si="2"/>
        <v>Medium</v>
      </c>
    </row>
    <row r="165" spans="1:11" x14ac:dyDescent="0.3">
      <c r="A165" s="12">
        <v>45697</v>
      </c>
      <c r="B165" t="s">
        <v>215</v>
      </c>
      <c r="C165" t="s">
        <v>88</v>
      </c>
      <c r="D165" t="s">
        <v>69</v>
      </c>
      <c r="E165">
        <v>9</v>
      </c>
      <c r="F165">
        <v>200</v>
      </c>
      <c r="G165" t="s">
        <v>13</v>
      </c>
      <c r="H165">
        <v>1800</v>
      </c>
      <c r="I165" t="s">
        <v>35</v>
      </c>
      <c r="J165" t="s">
        <v>45</v>
      </c>
      <c r="K165" t="str">
        <f t="shared" si="2"/>
        <v>High</v>
      </c>
    </row>
    <row r="166" spans="1:11" x14ac:dyDescent="0.3">
      <c r="A166" s="12">
        <v>45715</v>
      </c>
      <c r="B166" t="s">
        <v>216</v>
      </c>
      <c r="C166" t="s">
        <v>88</v>
      </c>
      <c r="D166" t="s">
        <v>69</v>
      </c>
      <c r="E166">
        <v>6</v>
      </c>
      <c r="F166">
        <v>200</v>
      </c>
      <c r="G166" t="s">
        <v>19</v>
      </c>
      <c r="H166">
        <v>1200</v>
      </c>
      <c r="I166" t="s">
        <v>35</v>
      </c>
      <c r="J166" t="s">
        <v>56</v>
      </c>
      <c r="K166" t="str">
        <f t="shared" si="2"/>
        <v>High</v>
      </c>
    </row>
    <row r="167" spans="1:11" x14ac:dyDescent="0.3">
      <c r="A167" s="12">
        <v>45699</v>
      </c>
      <c r="B167" t="s">
        <v>217</v>
      </c>
      <c r="C167" t="s">
        <v>88</v>
      </c>
      <c r="D167" t="s">
        <v>69</v>
      </c>
      <c r="E167">
        <v>3</v>
      </c>
      <c r="F167">
        <v>200</v>
      </c>
      <c r="G167" t="s">
        <v>19</v>
      </c>
      <c r="H167">
        <v>600</v>
      </c>
      <c r="I167" t="s">
        <v>35</v>
      </c>
      <c r="J167" t="s">
        <v>31</v>
      </c>
      <c r="K167" t="str">
        <f t="shared" si="2"/>
        <v>High</v>
      </c>
    </row>
    <row r="168" spans="1:11" x14ac:dyDescent="0.3">
      <c r="A168" s="12">
        <v>45706</v>
      </c>
      <c r="B168" t="s">
        <v>218</v>
      </c>
      <c r="C168" t="s">
        <v>121</v>
      </c>
      <c r="D168" t="s">
        <v>69</v>
      </c>
      <c r="E168">
        <v>3</v>
      </c>
      <c r="F168">
        <v>50</v>
      </c>
      <c r="G168" t="s">
        <v>13</v>
      </c>
      <c r="H168">
        <v>150</v>
      </c>
      <c r="I168" t="s">
        <v>35</v>
      </c>
      <c r="J168" t="s">
        <v>31</v>
      </c>
      <c r="K168" t="str">
        <f t="shared" si="2"/>
        <v>Medium</v>
      </c>
    </row>
    <row r="169" spans="1:11" x14ac:dyDescent="0.3">
      <c r="A169" s="12">
        <v>45720</v>
      </c>
      <c r="B169" t="s">
        <v>219</v>
      </c>
      <c r="C169" t="s">
        <v>39</v>
      </c>
      <c r="D169" t="s">
        <v>12</v>
      </c>
      <c r="E169">
        <v>2</v>
      </c>
      <c r="F169">
        <v>300</v>
      </c>
      <c r="G169" t="s">
        <v>23</v>
      </c>
      <c r="H169">
        <v>600</v>
      </c>
      <c r="I169" t="s">
        <v>14</v>
      </c>
      <c r="J169" t="s">
        <v>31</v>
      </c>
      <c r="K169" t="str">
        <f t="shared" si="2"/>
        <v>High</v>
      </c>
    </row>
    <row r="170" spans="1:11" x14ac:dyDescent="0.3">
      <c r="A170" s="12">
        <v>45718</v>
      </c>
      <c r="B170" t="s">
        <v>220</v>
      </c>
      <c r="C170" t="s">
        <v>52</v>
      </c>
      <c r="D170" t="s">
        <v>27</v>
      </c>
      <c r="E170">
        <v>6</v>
      </c>
      <c r="F170">
        <v>80</v>
      </c>
      <c r="G170" t="s">
        <v>19</v>
      </c>
      <c r="H170">
        <v>480</v>
      </c>
      <c r="I170" t="s">
        <v>14</v>
      </c>
      <c r="J170" t="s">
        <v>45</v>
      </c>
      <c r="K170" t="str">
        <f t="shared" si="2"/>
        <v>Medium</v>
      </c>
    </row>
    <row r="171" spans="1:11" x14ac:dyDescent="0.3">
      <c r="A171" s="12">
        <v>45698</v>
      </c>
      <c r="B171" t="s">
        <v>221</v>
      </c>
      <c r="C171" t="s">
        <v>100</v>
      </c>
      <c r="D171" t="s">
        <v>64</v>
      </c>
      <c r="E171">
        <v>3</v>
      </c>
      <c r="F171">
        <v>25</v>
      </c>
      <c r="G171" t="s">
        <v>13</v>
      </c>
      <c r="H171">
        <v>75</v>
      </c>
      <c r="I171" t="s">
        <v>35</v>
      </c>
      <c r="J171" t="s">
        <v>20</v>
      </c>
      <c r="K171" t="str">
        <f t="shared" si="2"/>
        <v>Low</v>
      </c>
    </row>
    <row r="172" spans="1:11" x14ac:dyDescent="0.3">
      <c r="A172" s="12">
        <v>45681</v>
      </c>
      <c r="B172" t="s">
        <v>222</v>
      </c>
      <c r="C172" t="s">
        <v>79</v>
      </c>
      <c r="D172" t="s">
        <v>64</v>
      </c>
      <c r="E172">
        <v>2</v>
      </c>
      <c r="F172">
        <v>20</v>
      </c>
      <c r="G172" t="s">
        <v>23</v>
      </c>
      <c r="H172">
        <v>40</v>
      </c>
      <c r="I172" t="s">
        <v>28</v>
      </c>
      <c r="J172" t="s">
        <v>36</v>
      </c>
      <c r="K172" t="str">
        <f t="shared" si="2"/>
        <v>Low</v>
      </c>
    </row>
    <row r="173" spans="1:11" x14ac:dyDescent="0.3">
      <c r="A173" s="12">
        <v>45706</v>
      </c>
      <c r="B173" t="s">
        <v>223</v>
      </c>
      <c r="C173" t="s">
        <v>39</v>
      </c>
      <c r="D173" t="s">
        <v>12</v>
      </c>
      <c r="E173">
        <v>4</v>
      </c>
      <c r="F173">
        <v>300</v>
      </c>
      <c r="G173" t="s">
        <v>19</v>
      </c>
      <c r="H173">
        <v>1200</v>
      </c>
      <c r="I173" t="s">
        <v>35</v>
      </c>
      <c r="J173" t="s">
        <v>31</v>
      </c>
      <c r="K173" t="str">
        <f t="shared" si="2"/>
        <v>High</v>
      </c>
    </row>
    <row r="174" spans="1:11" x14ac:dyDescent="0.3">
      <c r="A174" s="12">
        <v>45713</v>
      </c>
      <c r="B174" t="s">
        <v>224</v>
      </c>
      <c r="C174" t="s">
        <v>11</v>
      </c>
      <c r="D174" t="s">
        <v>12</v>
      </c>
      <c r="E174">
        <v>4</v>
      </c>
      <c r="F174">
        <v>6</v>
      </c>
      <c r="G174" t="s">
        <v>13</v>
      </c>
      <c r="H174">
        <v>24</v>
      </c>
      <c r="I174" t="s">
        <v>35</v>
      </c>
      <c r="J174" t="s">
        <v>31</v>
      </c>
      <c r="K174" t="str">
        <f t="shared" si="2"/>
        <v>Low</v>
      </c>
    </row>
    <row r="175" spans="1:11" x14ac:dyDescent="0.3">
      <c r="A175" s="12">
        <v>45681</v>
      </c>
      <c r="B175" t="s">
        <v>225</v>
      </c>
      <c r="C175" t="s">
        <v>42</v>
      </c>
      <c r="D175" t="s">
        <v>43</v>
      </c>
      <c r="E175">
        <v>6</v>
      </c>
      <c r="F175">
        <v>40</v>
      </c>
      <c r="G175" t="s">
        <v>19</v>
      </c>
      <c r="H175">
        <v>240</v>
      </c>
      <c r="I175" t="s">
        <v>28</v>
      </c>
      <c r="J175" t="s">
        <v>36</v>
      </c>
      <c r="K175" t="str">
        <f t="shared" si="2"/>
        <v>Medium</v>
      </c>
    </row>
    <row r="176" spans="1:11" x14ac:dyDescent="0.3">
      <c r="A176" s="12">
        <v>45687</v>
      </c>
      <c r="B176" t="s">
        <v>226</v>
      </c>
      <c r="C176" t="s">
        <v>42</v>
      </c>
      <c r="D176" t="s">
        <v>43</v>
      </c>
      <c r="E176">
        <v>7</v>
      </c>
      <c r="F176">
        <v>40</v>
      </c>
      <c r="G176" t="s">
        <v>19</v>
      </c>
      <c r="H176">
        <v>280</v>
      </c>
      <c r="I176" t="s">
        <v>28</v>
      </c>
      <c r="J176" t="s">
        <v>56</v>
      </c>
      <c r="K176" t="str">
        <f t="shared" si="2"/>
        <v>Medium</v>
      </c>
    </row>
    <row r="177" spans="1:11" x14ac:dyDescent="0.3">
      <c r="A177" s="12">
        <v>45702</v>
      </c>
      <c r="B177" t="s">
        <v>227</v>
      </c>
      <c r="C177" t="s">
        <v>39</v>
      </c>
      <c r="D177" t="s">
        <v>12</v>
      </c>
      <c r="E177">
        <v>9</v>
      </c>
      <c r="F177">
        <v>300</v>
      </c>
      <c r="G177" t="s">
        <v>23</v>
      </c>
      <c r="H177">
        <v>2700</v>
      </c>
      <c r="I177" t="s">
        <v>35</v>
      </c>
      <c r="J177" t="s">
        <v>36</v>
      </c>
      <c r="K177" t="str">
        <f t="shared" si="2"/>
        <v>High</v>
      </c>
    </row>
    <row r="178" spans="1:11" x14ac:dyDescent="0.3">
      <c r="A178" s="12">
        <v>45727</v>
      </c>
      <c r="B178" t="s">
        <v>228</v>
      </c>
      <c r="C178" t="s">
        <v>52</v>
      </c>
      <c r="D178" t="s">
        <v>27</v>
      </c>
      <c r="E178">
        <v>3</v>
      </c>
      <c r="F178">
        <v>80</v>
      </c>
      <c r="G178" t="s">
        <v>13</v>
      </c>
      <c r="H178">
        <v>240</v>
      </c>
      <c r="I178" t="s">
        <v>14</v>
      </c>
      <c r="J178" t="s">
        <v>31</v>
      </c>
      <c r="K178" t="str">
        <f t="shared" si="2"/>
        <v>Medium</v>
      </c>
    </row>
    <row r="179" spans="1:11" x14ac:dyDescent="0.3">
      <c r="A179" s="12">
        <v>45695</v>
      </c>
      <c r="B179" t="s">
        <v>229</v>
      </c>
      <c r="C179" t="s">
        <v>11</v>
      </c>
      <c r="D179" t="s">
        <v>12</v>
      </c>
      <c r="E179">
        <v>9</v>
      </c>
      <c r="F179">
        <v>6</v>
      </c>
      <c r="G179" t="s">
        <v>19</v>
      </c>
      <c r="H179">
        <v>54</v>
      </c>
      <c r="I179" t="s">
        <v>35</v>
      </c>
      <c r="J179" t="s">
        <v>36</v>
      </c>
      <c r="K179" t="str">
        <f t="shared" si="2"/>
        <v>Low</v>
      </c>
    </row>
    <row r="180" spans="1:11" x14ac:dyDescent="0.3">
      <c r="A180" s="12">
        <v>45661</v>
      </c>
      <c r="B180" t="s">
        <v>230</v>
      </c>
      <c r="C180" t="s">
        <v>47</v>
      </c>
      <c r="D180" t="s">
        <v>48</v>
      </c>
      <c r="E180">
        <v>4</v>
      </c>
      <c r="F180">
        <v>120</v>
      </c>
      <c r="G180" t="s">
        <v>23</v>
      </c>
      <c r="H180">
        <v>480</v>
      </c>
      <c r="I180" t="s">
        <v>28</v>
      </c>
      <c r="J180" t="s">
        <v>24</v>
      </c>
      <c r="K180" t="str">
        <f t="shared" si="2"/>
        <v>Medium</v>
      </c>
    </row>
    <row r="181" spans="1:11" x14ac:dyDescent="0.3">
      <c r="A181" s="12">
        <v>45715</v>
      </c>
      <c r="B181" t="s">
        <v>231</v>
      </c>
      <c r="C181" t="s">
        <v>68</v>
      </c>
      <c r="D181" t="s">
        <v>69</v>
      </c>
      <c r="E181">
        <v>9</v>
      </c>
      <c r="F181">
        <v>70</v>
      </c>
      <c r="G181" t="s">
        <v>23</v>
      </c>
      <c r="H181">
        <v>630</v>
      </c>
      <c r="I181" t="s">
        <v>35</v>
      </c>
      <c r="J181" t="s">
        <v>56</v>
      </c>
      <c r="K181" t="str">
        <f t="shared" si="2"/>
        <v>High</v>
      </c>
    </row>
    <row r="182" spans="1:11" x14ac:dyDescent="0.3">
      <c r="A182" s="12">
        <v>45742</v>
      </c>
      <c r="B182" t="s">
        <v>232</v>
      </c>
      <c r="C182" t="s">
        <v>59</v>
      </c>
      <c r="D182" t="s">
        <v>34</v>
      </c>
      <c r="E182">
        <v>5</v>
      </c>
      <c r="F182">
        <v>45</v>
      </c>
      <c r="G182" t="s">
        <v>19</v>
      </c>
      <c r="H182">
        <v>225</v>
      </c>
      <c r="I182" t="s">
        <v>14</v>
      </c>
      <c r="J182" t="s">
        <v>15</v>
      </c>
      <c r="K182" t="str">
        <f t="shared" si="2"/>
        <v>Medium</v>
      </c>
    </row>
    <row r="183" spans="1:11" x14ac:dyDescent="0.3">
      <c r="A183" s="12">
        <v>45660</v>
      </c>
      <c r="B183" t="s">
        <v>233</v>
      </c>
      <c r="C183" t="s">
        <v>77</v>
      </c>
      <c r="D183" t="s">
        <v>69</v>
      </c>
      <c r="E183">
        <v>5</v>
      </c>
      <c r="F183">
        <v>150</v>
      </c>
      <c r="G183" t="s">
        <v>19</v>
      </c>
      <c r="H183">
        <v>750</v>
      </c>
      <c r="I183" t="s">
        <v>28</v>
      </c>
      <c r="J183" t="s">
        <v>36</v>
      </c>
      <c r="K183" t="str">
        <f t="shared" si="2"/>
        <v>High</v>
      </c>
    </row>
    <row r="184" spans="1:11" x14ac:dyDescent="0.3">
      <c r="A184" s="12">
        <v>45743</v>
      </c>
      <c r="B184" t="s">
        <v>234</v>
      </c>
      <c r="C184" t="s">
        <v>68</v>
      </c>
      <c r="D184" t="s">
        <v>69</v>
      </c>
      <c r="E184">
        <v>5</v>
      </c>
      <c r="F184">
        <v>70</v>
      </c>
      <c r="G184" t="s">
        <v>19</v>
      </c>
      <c r="H184">
        <v>350</v>
      </c>
      <c r="I184" t="s">
        <v>14</v>
      </c>
      <c r="J184" t="s">
        <v>56</v>
      </c>
      <c r="K184" t="str">
        <f t="shared" si="2"/>
        <v>Medium</v>
      </c>
    </row>
    <row r="185" spans="1:11" x14ac:dyDescent="0.3">
      <c r="A185" s="12">
        <v>45744</v>
      </c>
      <c r="B185" t="s">
        <v>235</v>
      </c>
      <c r="C185" t="s">
        <v>129</v>
      </c>
      <c r="D185" t="s">
        <v>34</v>
      </c>
      <c r="E185">
        <v>3</v>
      </c>
      <c r="F185">
        <v>60</v>
      </c>
      <c r="G185" t="s">
        <v>13</v>
      </c>
      <c r="H185">
        <v>180</v>
      </c>
      <c r="I185" t="s">
        <v>14</v>
      </c>
      <c r="J185" t="s">
        <v>36</v>
      </c>
      <c r="K185" t="str">
        <f t="shared" si="2"/>
        <v>Medium</v>
      </c>
    </row>
    <row r="186" spans="1:11" x14ac:dyDescent="0.3">
      <c r="A186" s="12">
        <v>45746</v>
      </c>
      <c r="B186" t="s">
        <v>236</v>
      </c>
      <c r="C186" t="s">
        <v>71</v>
      </c>
      <c r="D186" t="s">
        <v>18</v>
      </c>
      <c r="E186">
        <v>3</v>
      </c>
      <c r="F186">
        <v>35</v>
      </c>
      <c r="G186" t="s">
        <v>23</v>
      </c>
      <c r="H186">
        <v>105</v>
      </c>
      <c r="I186" t="s">
        <v>14</v>
      </c>
      <c r="J186" t="s">
        <v>45</v>
      </c>
      <c r="K186" t="str">
        <f t="shared" si="2"/>
        <v>Medium</v>
      </c>
    </row>
    <row r="187" spans="1:11" x14ac:dyDescent="0.3">
      <c r="A187" s="12">
        <v>45739</v>
      </c>
      <c r="B187" t="s">
        <v>237</v>
      </c>
      <c r="C187" t="s">
        <v>68</v>
      </c>
      <c r="D187" t="s">
        <v>69</v>
      </c>
      <c r="E187">
        <v>7</v>
      </c>
      <c r="F187">
        <v>70</v>
      </c>
      <c r="G187" t="s">
        <v>13</v>
      </c>
      <c r="H187">
        <v>490</v>
      </c>
      <c r="I187" t="s">
        <v>14</v>
      </c>
      <c r="J187" t="s">
        <v>45</v>
      </c>
      <c r="K187" t="str">
        <f t="shared" si="2"/>
        <v>Medium</v>
      </c>
    </row>
    <row r="188" spans="1:11" x14ac:dyDescent="0.3">
      <c r="A188" s="12">
        <v>45686</v>
      </c>
      <c r="B188" t="s">
        <v>238</v>
      </c>
      <c r="C188" t="s">
        <v>77</v>
      </c>
      <c r="D188" t="s">
        <v>69</v>
      </c>
      <c r="E188">
        <v>4</v>
      </c>
      <c r="F188">
        <v>150</v>
      </c>
      <c r="G188" t="s">
        <v>19</v>
      </c>
      <c r="H188">
        <v>600</v>
      </c>
      <c r="I188" t="s">
        <v>28</v>
      </c>
      <c r="J188" t="s">
        <v>15</v>
      </c>
      <c r="K188" t="str">
        <f t="shared" si="2"/>
        <v>High</v>
      </c>
    </row>
    <row r="189" spans="1:11" x14ac:dyDescent="0.3">
      <c r="A189" s="12">
        <v>45747</v>
      </c>
      <c r="B189" t="s">
        <v>239</v>
      </c>
      <c r="C189" t="s">
        <v>79</v>
      </c>
      <c r="D189" t="s">
        <v>64</v>
      </c>
      <c r="E189">
        <v>3</v>
      </c>
      <c r="F189">
        <v>20</v>
      </c>
      <c r="G189" t="s">
        <v>23</v>
      </c>
      <c r="H189">
        <v>60</v>
      </c>
      <c r="I189" t="s">
        <v>14</v>
      </c>
      <c r="J189" t="s">
        <v>20</v>
      </c>
      <c r="K189" t="str">
        <f t="shared" si="2"/>
        <v>Low</v>
      </c>
    </row>
    <row r="190" spans="1:11" x14ac:dyDescent="0.3">
      <c r="A190" s="12">
        <v>45681</v>
      </c>
      <c r="B190" t="s">
        <v>240</v>
      </c>
      <c r="C190" t="s">
        <v>26</v>
      </c>
      <c r="D190" t="s">
        <v>27</v>
      </c>
      <c r="E190">
        <v>4</v>
      </c>
      <c r="F190">
        <v>60</v>
      </c>
      <c r="G190" t="s">
        <v>23</v>
      </c>
      <c r="H190">
        <v>240</v>
      </c>
      <c r="I190" t="s">
        <v>28</v>
      </c>
      <c r="J190" t="s">
        <v>36</v>
      </c>
      <c r="K190" t="str">
        <f t="shared" si="2"/>
        <v>Medium</v>
      </c>
    </row>
    <row r="191" spans="1:11" x14ac:dyDescent="0.3">
      <c r="A191" s="12">
        <v>45703</v>
      </c>
      <c r="B191" t="s">
        <v>241</v>
      </c>
      <c r="C191" t="s">
        <v>22</v>
      </c>
      <c r="D191" t="s">
        <v>12</v>
      </c>
      <c r="E191">
        <v>1</v>
      </c>
      <c r="F191">
        <v>260</v>
      </c>
      <c r="G191" t="s">
        <v>13</v>
      </c>
      <c r="H191">
        <v>260</v>
      </c>
      <c r="I191" t="s">
        <v>35</v>
      </c>
      <c r="J191" t="s">
        <v>24</v>
      </c>
      <c r="K191" t="str">
        <f t="shared" si="2"/>
        <v>Medium</v>
      </c>
    </row>
    <row r="192" spans="1:11" x14ac:dyDescent="0.3">
      <c r="A192" s="12">
        <v>45674</v>
      </c>
      <c r="B192" t="s">
        <v>242</v>
      </c>
      <c r="C192" t="s">
        <v>33</v>
      </c>
      <c r="D192" t="s">
        <v>34</v>
      </c>
      <c r="E192">
        <v>7</v>
      </c>
      <c r="F192">
        <v>55</v>
      </c>
      <c r="G192" t="s">
        <v>13</v>
      </c>
      <c r="H192">
        <v>385</v>
      </c>
      <c r="I192" t="s">
        <v>28</v>
      </c>
      <c r="J192" t="s">
        <v>36</v>
      </c>
      <c r="K192" t="str">
        <f t="shared" si="2"/>
        <v>Medium</v>
      </c>
    </row>
    <row r="193" spans="1:11" x14ac:dyDescent="0.3">
      <c r="A193" s="12">
        <v>45671</v>
      </c>
      <c r="B193" t="s">
        <v>243</v>
      </c>
      <c r="C193" t="s">
        <v>79</v>
      </c>
      <c r="D193" t="s">
        <v>64</v>
      </c>
      <c r="E193">
        <v>3</v>
      </c>
      <c r="F193">
        <v>20</v>
      </c>
      <c r="G193" t="s">
        <v>13</v>
      </c>
      <c r="H193">
        <v>60</v>
      </c>
      <c r="I193" t="s">
        <v>28</v>
      </c>
      <c r="J193" t="s">
        <v>31</v>
      </c>
      <c r="K193" t="str">
        <f t="shared" si="2"/>
        <v>Low</v>
      </c>
    </row>
    <row r="194" spans="1:11" x14ac:dyDescent="0.3">
      <c r="A194" s="12">
        <v>45673</v>
      </c>
      <c r="B194" t="s">
        <v>244</v>
      </c>
      <c r="C194" t="s">
        <v>39</v>
      </c>
      <c r="D194" t="s">
        <v>12</v>
      </c>
      <c r="E194">
        <v>6</v>
      </c>
      <c r="F194">
        <v>300</v>
      </c>
      <c r="G194" t="s">
        <v>13</v>
      </c>
      <c r="H194">
        <v>1800</v>
      </c>
      <c r="I194" t="s">
        <v>28</v>
      </c>
      <c r="J194" t="s">
        <v>56</v>
      </c>
      <c r="K194" t="str">
        <f t="shared" si="2"/>
        <v>High</v>
      </c>
    </row>
    <row r="195" spans="1:11" x14ac:dyDescent="0.3">
      <c r="A195" s="12">
        <v>45687</v>
      </c>
      <c r="B195" t="s">
        <v>245</v>
      </c>
      <c r="C195" t="s">
        <v>77</v>
      </c>
      <c r="D195" t="s">
        <v>69</v>
      </c>
      <c r="E195">
        <v>6</v>
      </c>
      <c r="F195">
        <v>150</v>
      </c>
      <c r="G195" t="s">
        <v>23</v>
      </c>
      <c r="H195">
        <v>900</v>
      </c>
      <c r="I195" t="s">
        <v>28</v>
      </c>
      <c r="J195" t="s">
        <v>56</v>
      </c>
      <c r="K195" t="str">
        <f t="shared" ref="K195:K201" si="3">IF(H195&lt;=100,"Low",IF(H195&lt;=500,"Medium","High"))</f>
        <v>High</v>
      </c>
    </row>
    <row r="196" spans="1:11" x14ac:dyDescent="0.3">
      <c r="A196" s="12">
        <v>45688</v>
      </c>
      <c r="B196" t="s">
        <v>246</v>
      </c>
      <c r="C196" t="s">
        <v>11</v>
      </c>
      <c r="D196" t="s">
        <v>12</v>
      </c>
      <c r="E196">
        <v>8</v>
      </c>
      <c r="F196">
        <v>6</v>
      </c>
      <c r="G196" t="s">
        <v>23</v>
      </c>
      <c r="H196">
        <v>48</v>
      </c>
      <c r="I196" t="s">
        <v>28</v>
      </c>
      <c r="J196" t="s">
        <v>36</v>
      </c>
      <c r="K196" t="str">
        <f t="shared" si="3"/>
        <v>Low</v>
      </c>
    </row>
    <row r="197" spans="1:11" x14ac:dyDescent="0.3">
      <c r="A197" s="12">
        <v>45700</v>
      </c>
      <c r="B197" t="s">
        <v>247</v>
      </c>
      <c r="C197" t="s">
        <v>63</v>
      </c>
      <c r="D197" t="s">
        <v>64</v>
      </c>
      <c r="E197">
        <v>1</v>
      </c>
      <c r="F197">
        <v>90</v>
      </c>
      <c r="G197" t="s">
        <v>19</v>
      </c>
      <c r="H197">
        <v>90</v>
      </c>
      <c r="I197" t="s">
        <v>35</v>
      </c>
      <c r="J197" t="s">
        <v>15</v>
      </c>
      <c r="K197" t="str">
        <f t="shared" si="3"/>
        <v>Low</v>
      </c>
    </row>
    <row r="198" spans="1:11" x14ac:dyDescent="0.3">
      <c r="A198" s="12">
        <v>45697</v>
      </c>
      <c r="B198" t="s">
        <v>248</v>
      </c>
      <c r="C198" t="s">
        <v>47</v>
      </c>
      <c r="D198" t="s">
        <v>48</v>
      </c>
      <c r="E198">
        <v>7</v>
      </c>
      <c r="F198">
        <v>120</v>
      </c>
      <c r="G198" t="s">
        <v>13</v>
      </c>
      <c r="H198">
        <v>840</v>
      </c>
      <c r="I198" t="s">
        <v>35</v>
      </c>
      <c r="J198" t="s">
        <v>45</v>
      </c>
      <c r="K198" t="str">
        <f t="shared" si="3"/>
        <v>High</v>
      </c>
    </row>
    <row r="199" spans="1:11" x14ac:dyDescent="0.3">
      <c r="A199" s="12">
        <v>45737</v>
      </c>
      <c r="B199" t="s">
        <v>249</v>
      </c>
      <c r="C199" t="s">
        <v>11</v>
      </c>
      <c r="D199" t="s">
        <v>12</v>
      </c>
      <c r="E199">
        <v>7</v>
      </c>
      <c r="F199">
        <v>6</v>
      </c>
      <c r="G199" t="s">
        <v>19</v>
      </c>
      <c r="H199">
        <v>42</v>
      </c>
      <c r="I199" t="s">
        <v>14</v>
      </c>
      <c r="J199" t="s">
        <v>36</v>
      </c>
      <c r="K199" t="str">
        <f t="shared" si="3"/>
        <v>Low</v>
      </c>
    </row>
    <row r="200" spans="1:11" x14ac:dyDescent="0.3">
      <c r="A200" s="12">
        <v>45695</v>
      </c>
      <c r="B200" t="s">
        <v>250</v>
      </c>
      <c r="C200" t="s">
        <v>129</v>
      </c>
      <c r="D200" t="s">
        <v>34</v>
      </c>
      <c r="E200">
        <v>6</v>
      </c>
      <c r="F200">
        <v>60</v>
      </c>
      <c r="G200" t="s">
        <v>13</v>
      </c>
      <c r="H200">
        <v>360</v>
      </c>
      <c r="I200" t="s">
        <v>35</v>
      </c>
      <c r="J200" t="s">
        <v>36</v>
      </c>
      <c r="K200" t="str">
        <f t="shared" si="3"/>
        <v>Medium</v>
      </c>
    </row>
    <row r="201" spans="1:11" x14ac:dyDescent="0.3">
      <c r="A201" s="12">
        <v>45680</v>
      </c>
      <c r="B201" t="s">
        <v>251</v>
      </c>
      <c r="C201" t="s">
        <v>68</v>
      </c>
      <c r="D201" t="s">
        <v>69</v>
      </c>
      <c r="E201">
        <v>5</v>
      </c>
      <c r="F201">
        <v>70</v>
      </c>
      <c r="G201" t="s">
        <v>23</v>
      </c>
      <c r="H201">
        <v>350</v>
      </c>
      <c r="I201" t="s">
        <v>28</v>
      </c>
      <c r="J201" t="s">
        <v>56</v>
      </c>
      <c r="K201" t="str">
        <f t="shared" si="3"/>
        <v>Medium</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4"/>
  <sheetViews>
    <sheetView topLeftCell="A10" workbookViewId="0">
      <selection activeCell="F14" sqref="F14"/>
    </sheetView>
  </sheetViews>
  <sheetFormatPr defaultRowHeight="14.4" x14ac:dyDescent="0.3"/>
  <sheetData>
    <row r="1" spans="1:5" ht="31.2" x14ac:dyDescent="0.3">
      <c r="A1" s="1" t="s">
        <v>252</v>
      </c>
    </row>
    <row r="3" spans="1:5" ht="23.4" x14ac:dyDescent="0.3">
      <c r="A3" s="2"/>
      <c r="E3" t="s">
        <v>331</v>
      </c>
    </row>
    <row r="7" spans="1:5" ht="18" x14ac:dyDescent="0.3">
      <c r="A7" s="3" t="s">
        <v>253</v>
      </c>
    </row>
    <row r="9" spans="1:5" x14ac:dyDescent="0.3">
      <c r="A9" s="4" t="s">
        <v>254</v>
      </c>
    </row>
    <row r="11" spans="1:5" x14ac:dyDescent="0.3">
      <c r="A11" t="s">
        <v>320</v>
      </c>
    </row>
    <row r="13" spans="1:5" ht="18" x14ac:dyDescent="0.3">
      <c r="A13" s="3" t="s">
        <v>255</v>
      </c>
    </row>
    <row r="15" spans="1:5" x14ac:dyDescent="0.3">
      <c r="A15" s="4" t="s">
        <v>256</v>
      </c>
    </row>
    <row r="17" spans="1:1" x14ac:dyDescent="0.3">
      <c r="A17" t="s">
        <v>321</v>
      </c>
    </row>
    <row r="19" spans="1:1" ht="18" x14ac:dyDescent="0.3">
      <c r="A19" s="3" t="s">
        <v>257</v>
      </c>
    </row>
    <row r="21" spans="1:1" x14ac:dyDescent="0.3">
      <c r="A21" s="4" t="s">
        <v>258</v>
      </c>
    </row>
    <row r="23" spans="1:1" x14ac:dyDescent="0.3">
      <c r="A23" t="s">
        <v>322</v>
      </c>
    </row>
    <row r="25" spans="1:1" ht="18" x14ac:dyDescent="0.3">
      <c r="A25" s="3" t="s">
        <v>259</v>
      </c>
    </row>
    <row r="27" spans="1:1" x14ac:dyDescent="0.3">
      <c r="A27" s="4" t="s">
        <v>260</v>
      </c>
    </row>
    <row r="29" spans="1:1" x14ac:dyDescent="0.3">
      <c r="A29" t="s">
        <v>323</v>
      </c>
    </row>
    <row r="31" spans="1:1" ht="18" x14ac:dyDescent="0.3">
      <c r="A31" s="3" t="s">
        <v>261</v>
      </c>
    </row>
    <row r="33" spans="1:7" x14ac:dyDescent="0.3">
      <c r="A33" s="4" t="s">
        <v>262</v>
      </c>
    </row>
    <row r="35" spans="1:7" x14ac:dyDescent="0.3">
      <c r="A35" s="7" t="s">
        <v>324</v>
      </c>
    </row>
    <row r="37" spans="1:7" ht="18" x14ac:dyDescent="0.35">
      <c r="A37" s="15" t="s">
        <v>303</v>
      </c>
      <c r="B37" s="16"/>
      <c r="C37" s="16"/>
      <c r="D37" s="16"/>
      <c r="E37" s="16"/>
      <c r="F37" s="16"/>
      <c r="G37" s="16"/>
    </row>
    <row r="38" spans="1:7" x14ac:dyDescent="0.3">
      <c r="A38" s="4"/>
    </row>
    <row r="39" spans="1:7" x14ac:dyDescent="0.3">
      <c r="A39" s="4" t="s">
        <v>304</v>
      </c>
    </row>
    <row r="41" spans="1:7" x14ac:dyDescent="0.3">
      <c r="A41" t="s">
        <v>325</v>
      </c>
    </row>
    <row r="43" spans="1:7" ht="18" x14ac:dyDescent="0.35">
      <c r="A43" s="11" t="s">
        <v>308</v>
      </c>
    </row>
    <row r="44" spans="1:7" x14ac:dyDescent="0.3">
      <c r="A44" s="4"/>
    </row>
    <row r="45" spans="1:7" x14ac:dyDescent="0.3">
      <c r="A45" s="4" t="s">
        <v>307</v>
      </c>
    </row>
    <row r="47" spans="1:7" x14ac:dyDescent="0.3">
      <c r="A47" t="s">
        <v>326</v>
      </c>
    </row>
    <row r="49" spans="1:8" ht="18" x14ac:dyDescent="0.3">
      <c r="A49" s="3" t="s">
        <v>263</v>
      </c>
    </row>
    <row r="51" spans="1:8" x14ac:dyDescent="0.3">
      <c r="A51" s="4" t="s">
        <v>264</v>
      </c>
    </row>
    <row r="53" spans="1:8" x14ac:dyDescent="0.3">
      <c r="A53" t="s">
        <v>327</v>
      </c>
    </row>
    <row r="55" spans="1:8" ht="18" x14ac:dyDescent="0.3">
      <c r="A55" s="3" t="s">
        <v>265</v>
      </c>
    </row>
    <row r="57" spans="1:8" x14ac:dyDescent="0.3">
      <c r="A57" s="4" t="s">
        <v>266</v>
      </c>
    </row>
    <row r="59" spans="1:8" x14ac:dyDescent="0.3">
      <c r="A59" t="s">
        <v>328</v>
      </c>
    </row>
    <row r="61" spans="1:8" ht="18" x14ac:dyDescent="0.35">
      <c r="A61" s="15" t="s">
        <v>313</v>
      </c>
      <c r="B61" s="16"/>
      <c r="C61" s="16"/>
      <c r="D61" s="16"/>
      <c r="E61" s="16"/>
      <c r="F61" s="16"/>
      <c r="G61" s="16"/>
      <c r="H61" s="16"/>
    </row>
    <row r="63" spans="1:8" x14ac:dyDescent="0.3">
      <c r="A63" s="4" t="s">
        <v>312</v>
      </c>
    </row>
    <row r="65" spans="1:3" x14ac:dyDescent="0.3">
      <c r="A65" t="s">
        <v>329</v>
      </c>
    </row>
    <row r="67" spans="1:3" ht="23.4" x14ac:dyDescent="0.3">
      <c r="A67" s="2" t="s">
        <v>267</v>
      </c>
    </row>
    <row r="69" spans="1:3" ht="28.8" x14ac:dyDescent="0.3">
      <c r="A69" s="5" t="s">
        <v>268</v>
      </c>
      <c r="B69" s="5" t="s">
        <v>269</v>
      </c>
      <c r="C69" s="5" t="s">
        <v>270</v>
      </c>
    </row>
    <row r="70" spans="1:3" ht="43.2" x14ac:dyDescent="0.3">
      <c r="A70" s="6" t="s">
        <v>271</v>
      </c>
      <c r="B70" s="6" t="s">
        <v>272</v>
      </c>
      <c r="C70" s="6" t="s">
        <v>273</v>
      </c>
    </row>
    <row r="71" spans="1:3" ht="28.8" x14ac:dyDescent="0.3">
      <c r="A71" s="6" t="s">
        <v>274</v>
      </c>
      <c r="B71" s="6" t="s">
        <v>275</v>
      </c>
      <c r="C71" s="6" t="s">
        <v>276</v>
      </c>
    </row>
    <row r="72" spans="1:3" ht="28.8" x14ac:dyDescent="0.3">
      <c r="A72" s="6" t="s">
        <v>277</v>
      </c>
      <c r="B72" s="6" t="s">
        <v>278</v>
      </c>
      <c r="C72" s="6" t="s">
        <v>279</v>
      </c>
    </row>
    <row r="73" spans="1:3" ht="43.2" x14ac:dyDescent="0.3">
      <c r="A73" s="6" t="s">
        <v>280</v>
      </c>
      <c r="B73" s="6" t="s">
        <v>281</v>
      </c>
      <c r="C73" s="6" t="s">
        <v>282</v>
      </c>
    </row>
    <row r="74" spans="1:3" ht="28.8" x14ac:dyDescent="0.3">
      <c r="A74" s="6" t="s">
        <v>283</v>
      </c>
      <c r="B74" s="6" t="s">
        <v>278</v>
      </c>
      <c r="C74" s="6" t="s">
        <v>284</v>
      </c>
    </row>
    <row r="75" spans="1:3" ht="57.6" x14ac:dyDescent="0.3">
      <c r="A75" s="6" t="s">
        <v>285</v>
      </c>
      <c r="B75" s="6" t="s">
        <v>305</v>
      </c>
      <c r="C75" s="6" t="s">
        <v>319</v>
      </c>
    </row>
    <row r="76" spans="1:3" ht="57.6" x14ac:dyDescent="0.3">
      <c r="A76" s="6" t="s">
        <v>286</v>
      </c>
      <c r="B76" s="6" t="s">
        <v>272</v>
      </c>
      <c r="C76" s="6" t="s">
        <v>318</v>
      </c>
    </row>
    <row r="77" spans="1:3" ht="57.6" x14ac:dyDescent="0.3">
      <c r="A77" s="6" t="s">
        <v>287</v>
      </c>
      <c r="B77" s="6" t="s">
        <v>316</v>
      </c>
      <c r="C77" s="6" t="s">
        <v>317</v>
      </c>
    </row>
    <row r="78" spans="1:3" ht="57.6" x14ac:dyDescent="0.3">
      <c r="A78" s="6" t="s">
        <v>288</v>
      </c>
      <c r="B78" s="6" t="s">
        <v>278</v>
      </c>
      <c r="C78" s="6" t="s">
        <v>315</v>
      </c>
    </row>
    <row r="79" spans="1:3" ht="57.6" x14ac:dyDescent="0.3">
      <c r="A79" s="6" t="s">
        <v>289</v>
      </c>
      <c r="B79" s="6" t="s">
        <v>272</v>
      </c>
      <c r="C79" s="6" t="s">
        <v>314</v>
      </c>
    </row>
    <row r="82" spans="1:1" ht="23.4" x14ac:dyDescent="0.3">
      <c r="A82" s="2" t="s">
        <v>290</v>
      </c>
    </row>
    <row r="83" spans="1:1" x14ac:dyDescent="0.3">
      <c r="A83" s="7"/>
    </row>
    <row r="84" spans="1:1" x14ac:dyDescent="0.3">
      <c r="A84" s="7" t="s">
        <v>291</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8"/>
  <sheetViews>
    <sheetView workbookViewId="0">
      <selection activeCell="B58" sqref="B58"/>
    </sheetView>
  </sheetViews>
  <sheetFormatPr defaultRowHeight="14.4" x14ac:dyDescent="0.3"/>
  <cols>
    <col min="1" max="1" width="12.5546875" customWidth="1"/>
    <col min="2" max="2" width="19.77734375" customWidth="1"/>
    <col min="3" max="3" width="14.88671875" customWidth="1"/>
    <col min="4" max="4" width="6" customWidth="1"/>
    <col min="5" max="5" width="7.109375" customWidth="1"/>
    <col min="6" max="6" width="6.77734375" customWidth="1"/>
    <col min="7" max="7" width="10.77734375" customWidth="1"/>
    <col min="8" max="8" width="6.77734375" customWidth="1"/>
    <col min="9" max="9" width="10.21875" customWidth="1"/>
    <col min="10" max="10" width="10.77734375" bestFit="1" customWidth="1"/>
  </cols>
  <sheetData>
    <row r="1" spans="1:6" x14ac:dyDescent="0.3">
      <c r="A1" s="8" t="s">
        <v>292</v>
      </c>
      <c r="B1" t="s">
        <v>294</v>
      </c>
    </row>
    <row r="2" spans="1:6" x14ac:dyDescent="0.3">
      <c r="A2" s="9" t="s">
        <v>43</v>
      </c>
      <c r="B2" s="14">
        <v>1680</v>
      </c>
      <c r="F2" t="s">
        <v>296</v>
      </c>
    </row>
    <row r="3" spans="1:6" x14ac:dyDescent="0.3">
      <c r="A3" s="9" t="s">
        <v>69</v>
      </c>
      <c r="B3" s="14">
        <v>19540</v>
      </c>
    </row>
    <row r="4" spans="1:6" x14ac:dyDescent="0.3">
      <c r="A4" s="9" t="s">
        <v>48</v>
      </c>
      <c r="B4" s="14">
        <v>4170</v>
      </c>
    </row>
    <row r="5" spans="1:6" x14ac:dyDescent="0.3">
      <c r="A5" s="9" t="s">
        <v>12</v>
      </c>
      <c r="B5" s="14">
        <v>26314</v>
      </c>
    </row>
    <row r="6" spans="1:6" x14ac:dyDescent="0.3">
      <c r="A6" s="9" t="s">
        <v>64</v>
      </c>
      <c r="B6" s="14">
        <v>2470</v>
      </c>
    </row>
    <row r="7" spans="1:6" x14ac:dyDescent="0.3">
      <c r="A7" s="9" t="s">
        <v>293</v>
      </c>
      <c r="B7" s="14">
        <v>54174</v>
      </c>
    </row>
    <row r="21" spans="1:2" x14ac:dyDescent="0.3">
      <c r="A21" t="s">
        <v>295</v>
      </c>
    </row>
    <row r="24" spans="1:2" x14ac:dyDescent="0.3">
      <c r="A24" s="8" t="s">
        <v>292</v>
      </c>
      <c r="B24" t="s">
        <v>294</v>
      </c>
    </row>
    <row r="25" spans="1:2" x14ac:dyDescent="0.3">
      <c r="A25" s="9" t="s">
        <v>28</v>
      </c>
      <c r="B25" s="10">
        <v>0.41447927049876326</v>
      </c>
    </row>
    <row r="26" spans="1:2" x14ac:dyDescent="0.3">
      <c r="A26" s="9" t="s">
        <v>35</v>
      </c>
      <c r="B26" s="10">
        <v>0.58552072950123679</v>
      </c>
    </row>
    <row r="27" spans="1:2" x14ac:dyDescent="0.3">
      <c r="A27" s="9" t="s">
        <v>293</v>
      </c>
      <c r="B27" s="10">
        <v>1</v>
      </c>
    </row>
    <row r="37" spans="1:2" x14ac:dyDescent="0.3">
      <c r="A37" t="s">
        <v>297</v>
      </c>
    </row>
    <row r="39" spans="1:2" x14ac:dyDescent="0.3">
      <c r="A39" s="8" t="s">
        <v>292</v>
      </c>
      <c r="B39" t="s">
        <v>294</v>
      </c>
    </row>
    <row r="40" spans="1:2" x14ac:dyDescent="0.3">
      <c r="A40" s="9" t="s">
        <v>22</v>
      </c>
      <c r="B40" s="10">
        <v>0.30987182370137173</v>
      </c>
    </row>
    <row r="41" spans="1:2" x14ac:dyDescent="0.3">
      <c r="A41" s="9" t="s">
        <v>39</v>
      </c>
      <c r="B41" s="10">
        <v>0.2765909601978862</v>
      </c>
    </row>
    <row r="42" spans="1:2" x14ac:dyDescent="0.3">
      <c r="A42" s="9" t="s">
        <v>88</v>
      </c>
      <c r="B42" s="10">
        <v>0.24735776928266248</v>
      </c>
    </row>
    <row r="43" spans="1:2" x14ac:dyDescent="0.3">
      <c r="A43" s="9" t="s">
        <v>77</v>
      </c>
      <c r="B43" s="10">
        <v>8.4326512255453109E-2</v>
      </c>
    </row>
    <row r="44" spans="1:2" x14ac:dyDescent="0.3">
      <c r="A44" s="9" t="s">
        <v>68</v>
      </c>
      <c r="B44" s="10">
        <v>8.1852934562626489E-2</v>
      </c>
    </row>
    <row r="45" spans="1:2" x14ac:dyDescent="0.3">
      <c r="A45" s="9" t="s">
        <v>293</v>
      </c>
      <c r="B45" s="10">
        <v>1</v>
      </c>
    </row>
    <row r="55" spans="1:2" x14ac:dyDescent="0.3">
      <c r="A55" t="s">
        <v>298</v>
      </c>
    </row>
    <row r="57" spans="1:2" x14ac:dyDescent="0.3">
      <c r="A57" s="8" t="s">
        <v>292</v>
      </c>
      <c r="B57" t="s">
        <v>294</v>
      </c>
    </row>
    <row r="58" spans="1:2" x14ac:dyDescent="0.3">
      <c r="A58" s="9" t="s">
        <v>23</v>
      </c>
      <c r="B58" s="10">
        <v>0.31989515265625579</v>
      </c>
    </row>
    <row r="59" spans="1:2" x14ac:dyDescent="0.3">
      <c r="A59" s="9" t="s">
        <v>19</v>
      </c>
      <c r="B59" s="10">
        <v>0.20736884852512275</v>
      </c>
    </row>
    <row r="60" spans="1:2" x14ac:dyDescent="0.3">
      <c r="A60" s="9" t="s">
        <v>13</v>
      </c>
      <c r="B60" s="10">
        <v>0.47273599881862149</v>
      </c>
    </row>
    <row r="61" spans="1:2" x14ac:dyDescent="0.3">
      <c r="A61" s="9" t="s">
        <v>293</v>
      </c>
      <c r="B61" s="10">
        <v>1</v>
      </c>
    </row>
    <row r="72" spans="1:7" x14ac:dyDescent="0.3">
      <c r="A72" t="s">
        <v>300</v>
      </c>
    </row>
    <row r="75" spans="1:7" x14ac:dyDescent="0.3">
      <c r="A75" s="8" t="s">
        <v>294</v>
      </c>
      <c r="B75" s="8" t="s">
        <v>299</v>
      </c>
    </row>
    <row r="76" spans="1:7" x14ac:dyDescent="0.3">
      <c r="A76" s="8" t="s">
        <v>292</v>
      </c>
      <c r="B76" t="s">
        <v>43</v>
      </c>
      <c r="C76" t="s">
        <v>69</v>
      </c>
      <c r="D76" t="s">
        <v>48</v>
      </c>
      <c r="E76" t="s">
        <v>12</v>
      </c>
      <c r="F76" t="s">
        <v>64</v>
      </c>
      <c r="G76" t="s">
        <v>293</v>
      </c>
    </row>
    <row r="77" spans="1:7" x14ac:dyDescent="0.3">
      <c r="A77" s="9" t="s">
        <v>28</v>
      </c>
      <c r="B77" s="10">
        <v>3.1011186177871304E-2</v>
      </c>
      <c r="C77" s="10">
        <v>0.2063720603979769</v>
      </c>
      <c r="D77" s="10">
        <v>3.6548897995348321E-2</v>
      </c>
      <c r="E77" s="10">
        <v>0.11248938605234983</v>
      </c>
      <c r="F77" s="10">
        <v>2.8057739875216894E-2</v>
      </c>
      <c r="G77" s="10">
        <v>0.41447927049876326</v>
      </c>
    </row>
    <row r="78" spans="1:7" x14ac:dyDescent="0.3">
      <c r="A78" s="9" t="s">
        <v>35</v>
      </c>
      <c r="B78" s="10">
        <v>0</v>
      </c>
      <c r="C78" s="10">
        <v>0.15431756931369292</v>
      </c>
      <c r="D78" s="10">
        <v>4.0425296267582234E-2</v>
      </c>
      <c r="E78" s="10">
        <v>0.37324177649795104</v>
      </c>
      <c r="F78" s="10">
        <v>1.7536087422010557E-2</v>
      </c>
      <c r="G78" s="10">
        <v>0.58552072950123679</v>
      </c>
    </row>
    <row r="79" spans="1:7" x14ac:dyDescent="0.3">
      <c r="A79" s="9" t="s">
        <v>293</v>
      </c>
      <c r="B79" s="10">
        <v>3.1011186177871304E-2</v>
      </c>
      <c r="C79" s="10">
        <v>0.36068962971166979</v>
      </c>
      <c r="D79" s="10">
        <v>7.6974194262930562E-2</v>
      </c>
      <c r="E79" s="10">
        <v>0.48573116255030091</v>
      </c>
      <c r="F79" s="10">
        <v>4.5593827297227454E-2</v>
      </c>
      <c r="G79" s="10">
        <v>1</v>
      </c>
    </row>
    <row r="90" spans="1:2" x14ac:dyDescent="0.3">
      <c r="A90" t="s">
        <v>330</v>
      </c>
    </row>
    <row r="92" spans="1:2" x14ac:dyDescent="0.3">
      <c r="A92" s="8" t="s">
        <v>292</v>
      </c>
      <c r="B92" t="s">
        <v>302</v>
      </c>
    </row>
    <row r="93" spans="1:2" x14ac:dyDescent="0.3">
      <c r="A93" s="9" t="s">
        <v>69</v>
      </c>
      <c r="B93" s="14">
        <v>155</v>
      </c>
    </row>
    <row r="94" spans="1:2" x14ac:dyDescent="0.3">
      <c r="A94" s="9" t="s">
        <v>12</v>
      </c>
      <c r="B94" s="14">
        <v>133</v>
      </c>
    </row>
    <row r="95" spans="1:2" x14ac:dyDescent="0.3">
      <c r="A95" s="9" t="s">
        <v>64</v>
      </c>
      <c r="B95" s="14">
        <v>72</v>
      </c>
    </row>
    <row r="96" spans="1:2" x14ac:dyDescent="0.3">
      <c r="A96" s="9" t="s">
        <v>48</v>
      </c>
      <c r="B96" s="14">
        <v>52</v>
      </c>
    </row>
    <row r="97" spans="1:2" x14ac:dyDescent="0.3">
      <c r="A97" s="9" t="s">
        <v>43</v>
      </c>
      <c r="B97" s="14">
        <v>42</v>
      </c>
    </row>
    <row r="98" spans="1:2" x14ac:dyDescent="0.3">
      <c r="A98" s="9" t="s">
        <v>293</v>
      </c>
      <c r="B98" s="14">
        <v>454</v>
      </c>
    </row>
    <row r="105" spans="1:2" x14ac:dyDescent="0.3">
      <c r="A105" t="s">
        <v>306</v>
      </c>
    </row>
    <row r="108" spans="1:2" x14ac:dyDescent="0.3">
      <c r="A108" s="8" t="s">
        <v>292</v>
      </c>
      <c r="B108" t="s">
        <v>294</v>
      </c>
    </row>
    <row r="109" spans="1:2" x14ac:dyDescent="0.3">
      <c r="A109" s="9" t="s">
        <v>36</v>
      </c>
      <c r="B109" s="14">
        <v>13722</v>
      </c>
    </row>
    <row r="110" spans="1:2" x14ac:dyDescent="0.3">
      <c r="A110" s="9" t="s">
        <v>15</v>
      </c>
      <c r="B110" s="14">
        <v>12582</v>
      </c>
    </row>
    <row r="111" spans="1:2" x14ac:dyDescent="0.3">
      <c r="A111" s="9" t="s">
        <v>31</v>
      </c>
      <c r="B111" s="14">
        <v>6669</v>
      </c>
    </row>
    <row r="112" spans="1:2" x14ac:dyDescent="0.3">
      <c r="A112" s="9" t="s">
        <v>56</v>
      </c>
      <c r="B112" s="14">
        <v>6340</v>
      </c>
    </row>
    <row r="113" spans="1:2" x14ac:dyDescent="0.3">
      <c r="A113" s="9" t="s">
        <v>24</v>
      </c>
      <c r="B113" s="14">
        <v>5066</v>
      </c>
    </row>
    <row r="114" spans="1:2" x14ac:dyDescent="0.3">
      <c r="A114" s="9" t="s">
        <v>20</v>
      </c>
      <c r="B114" s="14">
        <v>5055</v>
      </c>
    </row>
    <row r="115" spans="1:2" x14ac:dyDescent="0.3">
      <c r="A115" s="9" t="s">
        <v>45</v>
      </c>
      <c r="B115" s="14">
        <v>4740</v>
      </c>
    </row>
    <row r="116" spans="1:2" x14ac:dyDescent="0.3">
      <c r="A116" s="9" t="s">
        <v>293</v>
      </c>
      <c r="B116" s="14">
        <v>54174</v>
      </c>
    </row>
    <row r="122" spans="1:2" x14ac:dyDescent="0.3">
      <c r="A122" t="s">
        <v>309</v>
      </c>
    </row>
    <row r="124" spans="1:2" x14ac:dyDescent="0.3">
      <c r="A124" s="8" t="s">
        <v>292</v>
      </c>
      <c r="B124" t="s">
        <v>294</v>
      </c>
    </row>
    <row r="125" spans="1:2" x14ac:dyDescent="0.3">
      <c r="A125" s="9" t="s">
        <v>28</v>
      </c>
      <c r="B125" s="14">
        <v>22454</v>
      </c>
    </row>
    <row r="126" spans="1:2" x14ac:dyDescent="0.3">
      <c r="A126" s="9" t="s">
        <v>35</v>
      </c>
      <c r="B126" s="14">
        <v>31720</v>
      </c>
    </row>
    <row r="127" spans="1:2" x14ac:dyDescent="0.3">
      <c r="A127" s="9" t="s">
        <v>293</v>
      </c>
      <c r="B127" s="14">
        <v>54174</v>
      </c>
    </row>
    <row r="138" spans="1:3" x14ac:dyDescent="0.3">
      <c r="A138" t="s">
        <v>310</v>
      </c>
    </row>
    <row r="140" spans="1:3" x14ac:dyDescent="0.3">
      <c r="A140" s="8" t="s">
        <v>292</v>
      </c>
      <c r="B140" t="s">
        <v>294</v>
      </c>
      <c r="C140" t="s">
        <v>302</v>
      </c>
    </row>
    <row r="141" spans="1:3" x14ac:dyDescent="0.3">
      <c r="A141" s="9" t="s">
        <v>63</v>
      </c>
      <c r="B141" s="14">
        <v>1080</v>
      </c>
      <c r="C141" s="14">
        <v>12</v>
      </c>
    </row>
    <row r="142" spans="1:3" x14ac:dyDescent="0.3">
      <c r="A142" s="9" t="s">
        <v>79</v>
      </c>
      <c r="B142" s="14">
        <v>440</v>
      </c>
      <c r="C142" s="14">
        <v>22</v>
      </c>
    </row>
    <row r="143" spans="1:3" x14ac:dyDescent="0.3">
      <c r="A143" s="9" t="s">
        <v>121</v>
      </c>
      <c r="B143" s="14">
        <v>1150</v>
      </c>
      <c r="C143" s="14">
        <v>23</v>
      </c>
    </row>
    <row r="144" spans="1:3" x14ac:dyDescent="0.3">
      <c r="A144" s="9" t="s">
        <v>104</v>
      </c>
      <c r="B144" s="14">
        <v>690</v>
      </c>
      <c r="C144" s="14">
        <v>23</v>
      </c>
    </row>
    <row r="145" spans="1:3" x14ac:dyDescent="0.3">
      <c r="A145" s="9" t="s">
        <v>77</v>
      </c>
      <c r="B145" s="14">
        <v>3750</v>
      </c>
      <c r="C145" s="14">
        <v>25</v>
      </c>
    </row>
    <row r="146" spans="1:3" x14ac:dyDescent="0.3">
      <c r="A146" s="9" t="s">
        <v>47</v>
      </c>
      <c r="B146" s="14">
        <v>3480</v>
      </c>
      <c r="C146" s="14">
        <v>29</v>
      </c>
    </row>
    <row r="147" spans="1:3" x14ac:dyDescent="0.3">
      <c r="A147" s="9" t="s">
        <v>100</v>
      </c>
      <c r="B147" s="14">
        <v>950</v>
      </c>
      <c r="C147" s="14">
        <v>38</v>
      </c>
    </row>
    <row r="148" spans="1:3" x14ac:dyDescent="0.3">
      <c r="A148" s="9" t="s">
        <v>11</v>
      </c>
      <c r="B148" s="14">
        <v>234</v>
      </c>
      <c r="C148" s="14">
        <v>39</v>
      </c>
    </row>
    <row r="149" spans="1:3" x14ac:dyDescent="0.3">
      <c r="A149" s="9" t="s">
        <v>39</v>
      </c>
      <c r="B149" s="14">
        <v>12300</v>
      </c>
      <c r="C149" s="14">
        <v>41</v>
      </c>
    </row>
    <row r="150" spans="1:3" x14ac:dyDescent="0.3">
      <c r="A150" s="9" t="s">
        <v>42</v>
      </c>
      <c r="B150" s="14">
        <v>1680</v>
      </c>
      <c r="C150" s="14">
        <v>42</v>
      </c>
    </row>
    <row r="151" spans="1:3" x14ac:dyDescent="0.3">
      <c r="A151" s="9" t="s">
        <v>68</v>
      </c>
      <c r="B151" s="14">
        <v>3640</v>
      </c>
      <c r="C151" s="14">
        <v>52</v>
      </c>
    </row>
    <row r="152" spans="1:3" x14ac:dyDescent="0.3">
      <c r="A152" s="9" t="s">
        <v>22</v>
      </c>
      <c r="B152" s="14">
        <v>13780</v>
      </c>
      <c r="C152" s="14">
        <v>53</v>
      </c>
    </row>
    <row r="153" spans="1:3" x14ac:dyDescent="0.3">
      <c r="A153" s="9" t="s">
        <v>88</v>
      </c>
      <c r="B153" s="14">
        <v>11000</v>
      </c>
      <c r="C153" s="14">
        <v>55</v>
      </c>
    </row>
    <row r="154" spans="1:3" x14ac:dyDescent="0.3">
      <c r="A154" s="9" t="s">
        <v>293</v>
      </c>
      <c r="B154" s="14">
        <v>54174</v>
      </c>
      <c r="C154" s="14">
        <v>454</v>
      </c>
    </row>
    <row r="164" spans="1:2" x14ac:dyDescent="0.3">
      <c r="A164" s="9" t="s">
        <v>311</v>
      </c>
    </row>
    <row r="166" spans="1:2" x14ac:dyDescent="0.3">
      <c r="A166" s="8" t="s">
        <v>292</v>
      </c>
      <c r="B166" t="s">
        <v>294</v>
      </c>
    </row>
    <row r="167" spans="1:2" x14ac:dyDescent="0.3">
      <c r="A167" s="9" t="s">
        <v>45</v>
      </c>
      <c r="B167" s="14">
        <v>4740</v>
      </c>
    </row>
    <row r="168" spans="1:2" x14ac:dyDescent="0.3">
      <c r="A168" s="17" t="s">
        <v>35</v>
      </c>
      <c r="B168" s="14">
        <v>3620</v>
      </c>
    </row>
    <row r="169" spans="1:2" x14ac:dyDescent="0.3">
      <c r="A169" s="17" t="s">
        <v>28</v>
      </c>
      <c r="B169" s="14">
        <v>1120</v>
      </c>
    </row>
    <row r="170" spans="1:2" x14ac:dyDescent="0.3">
      <c r="A170" s="9" t="s">
        <v>20</v>
      </c>
      <c r="B170" s="14">
        <v>5055</v>
      </c>
    </row>
    <row r="171" spans="1:2" x14ac:dyDescent="0.3">
      <c r="A171" s="17" t="s">
        <v>35</v>
      </c>
      <c r="B171" s="14">
        <v>3705</v>
      </c>
    </row>
    <row r="172" spans="1:2" x14ac:dyDescent="0.3">
      <c r="A172" s="17" t="s">
        <v>28</v>
      </c>
      <c r="B172" s="14">
        <v>1350</v>
      </c>
    </row>
    <row r="173" spans="1:2" x14ac:dyDescent="0.3">
      <c r="A173" s="9" t="s">
        <v>31</v>
      </c>
      <c r="B173" s="14">
        <v>6669</v>
      </c>
    </row>
    <row r="174" spans="1:2" x14ac:dyDescent="0.3">
      <c r="A174" s="17" t="s">
        <v>28</v>
      </c>
      <c r="B174" s="14">
        <v>4120</v>
      </c>
    </row>
    <row r="175" spans="1:2" x14ac:dyDescent="0.3">
      <c r="A175" s="17" t="s">
        <v>35</v>
      </c>
      <c r="B175" s="14">
        <v>2549</v>
      </c>
    </row>
    <row r="176" spans="1:2" x14ac:dyDescent="0.3">
      <c r="A176" s="9" t="s">
        <v>15</v>
      </c>
      <c r="B176" s="14">
        <v>12582</v>
      </c>
    </row>
    <row r="177" spans="1:2" x14ac:dyDescent="0.3">
      <c r="A177" s="17" t="s">
        <v>35</v>
      </c>
      <c r="B177" s="14">
        <v>8492</v>
      </c>
    </row>
    <row r="178" spans="1:2" x14ac:dyDescent="0.3">
      <c r="A178" s="17" t="s">
        <v>28</v>
      </c>
      <c r="B178" s="14">
        <v>4090</v>
      </c>
    </row>
    <row r="179" spans="1:2" x14ac:dyDescent="0.3">
      <c r="A179" s="9" t="s">
        <v>56</v>
      </c>
      <c r="B179" s="14">
        <v>6340</v>
      </c>
    </row>
    <row r="180" spans="1:2" x14ac:dyDescent="0.3">
      <c r="A180" s="17" t="s">
        <v>28</v>
      </c>
      <c r="B180" s="14">
        <v>3960</v>
      </c>
    </row>
    <row r="181" spans="1:2" x14ac:dyDescent="0.3">
      <c r="A181" s="17" t="s">
        <v>35</v>
      </c>
      <c r="B181" s="14">
        <v>2380</v>
      </c>
    </row>
    <row r="182" spans="1:2" x14ac:dyDescent="0.3">
      <c r="A182" s="9" t="s">
        <v>36</v>
      </c>
      <c r="B182" s="14">
        <v>13722</v>
      </c>
    </row>
    <row r="183" spans="1:2" x14ac:dyDescent="0.3">
      <c r="A183" s="17" t="s">
        <v>35</v>
      </c>
      <c r="B183" s="14">
        <v>8534</v>
      </c>
    </row>
    <row r="184" spans="1:2" x14ac:dyDescent="0.3">
      <c r="A184" s="17" t="s">
        <v>28</v>
      </c>
      <c r="B184" s="14">
        <v>5188</v>
      </c>
    </row>
    <row r="185" spans="1:2" x14ac:dyDescent="0.3">
      <c r="A185" s="9" t="s">
        <v>24</v>
      </c>
      <c r="B185" s="14">
        <v>5066</v>
      </c>
    </row>
    <row r="186" spans="1:2" x14ac:dyDescent="0.3">
      <c r="A186" s="17" t="s">
        <v>28</v>
      </c>
      <c r="B186" s="14">
        <v>2626</v>
      </c>
    </row>
    <row r="187" spans="1:2" x14ac:dyDescent="0.3">
      <c r="A187" s="17" t="s">
        <v>35</v>
      </c>
      <c r="B187" s="14">
        <v>2440</v>
      </c>
    </row>
    <row r="188" spans="1:2" x14ac:dyDescent="0.3">
      <c r="A188" s="9" t="s">
        <v>293</v>
      </c>
      <c r="B188" s="14">
        <v>54174</v>
      </c>
    </row>
  </sheetData>
  <conditionalFormatting sqref="A1:B1 A2:A10">
    <cfRule type="colorScale" priority="15">
      <colorScale>
        <cfvo type="min"/>
        <cfvo type="percentile" val="50"/>
        <cfvo type="max"/>
        <color rgb="FFF8696B"/>
        <color rgb="FFFFEB84"/>
        <color rgb="FF63BE7B"/>
      </colorScale>
    </cfRule>
  </conditionalFormatting>
  <conditionalFormatting sqref="A24:B24 A25:A29">
    <cfRule type="dataBar" priority="13">
      <dataBar>
        <cfvo type="min"/>
        <cfvo type="max"/>
        <color rgb="FF008AEF"/>
      </dataBar>
      <extLst>
        <ext xmlns:x14="http://schemas.microsoft.com/office/spreadsheetml/2009/9/main" uri="{B025F937-C7B1-47D3-B67F-A62EFF666E3E}">
          <x14:id>{C74EDB39-FB7C-4598-85BE-B13700943529}</x14:id>
        </ext>
      </extLst>
    </cfRule>
  </conditionalFormatting>
  <conditionalFormatting sqref="A39:B39 A40:A45">
    <cfRule type="colorScale" priority="12">
      <colorScale>
        <cfvo type="min"/>
        <cfvo type="percentile" val="50"/>
        <cfvo type="max"/>
        <color rgb="FF63BE7B"/>
        <color rgb="FFFFEB84"/>
        <color rgb="FFF8696B"/>
      </colorScale>
    </cfRule>
  </conditionalFormatting>
  <conditionalFormatting sqref="A57:B57 A58:A61">
    <cfRule type="colorScale" priority="11">
      <colorScale>
        <cfvo type="min"/>
        <cfvo type="percentile" val="50"/>
        <cfvo type="max"/>
        <color rgb="FF63BE7B"/>
        <color rgb="FFFFEB84"/>
        <color rgb="FFF8696B"/>
      </colorScale>
    </cfRule>
  </conditionalFormatting>
  <conditionalFormatting pivot="1" sqref="B77:G79">
    <cfRule type="colorScale" priority="10">
      <colorScale>
        <cfvo type="min"/>
        <cfvo type="percentile" val="50"/>
        <cfvo type="max"/>
        <color rgb="FFF8696B"/>
        <color rgb="FFFFEB84"/>
        <color rgb="FF63BE7B"/>
      </colorScale>
    </cfRule>
  </conditionalFormatting>
  <conditionalFormatting sqref="A92:B92 A93:A101">
    <cfRule type="dataBar" priority="8">
      <dataBar>
        <cfvo type="min"/>
        <cfvo type="max"/>
        <color rgb="FF638EC6"/>
      </dataBar>
      <extLst>
        <ext xmlns:x14="http://schemas.microsoft.com/office/spreadsheetml/2009/9/main" uri="{B025F937-C7B1-47D3-B67F-A62EFF666E3E}">
          <x14:id>{26F92DAF-2532-40B9-A280-9322195A7148}</x14:id>
        </ext>
      </extLst>
    </cfRule>
  </conditionalFormatting>
  <conditionalFormatting sqref="A108:B108 A109:A116">
    <cfRule type="colorScale" priority="7">
      <colorScale>
        <cfvo type="min"/>
        <cfvo type="percentile" val="50"/>
        <cfvo type="max"/>
        <color rgb="FFF8696B"/>
        <color rgb="FFFCFCFF"/>
        <color rgb="FF5A8AC6"/>
      </colorScale>
    </cfRule>
  </conditionalFormatting>
  <conditionalFormatting sqref="A57:B57 A58:A61">
    <cfRule type="colorScale" priority="6">
      <colorScale>
        <cfvo type="min"/>
        <cfvo type="percentile" val="50"/>
        <cfvo type="max"/>
        <color rgb="FFF8696B"/>
        <color rgb="FFFFEB84"/>
        <color rgb="FF63BE7B"/>
      </colorScale>
    </cfRule>
  </conditionalFormatting>
  <conditionalFormatting sqref="A140:C140 A141:A161">
    <cfRule type="colorScale" priority="3">
      <colorScale>
        <cfvo type="min"/>
        <cfvo type="percentile" val="50"/>
        <cfvo type="max"/>
        <color rgb="FF5A8AC6"/>
        <color rgb="FFFCFCFF"/>
        <color rgb="FFF8696B"/>
      </colorScale>
    </cfRule>
  </conditionalFormatting>
  <conditionalFormatting sqref="A124:B124 A125:A129">
    <cfRule type="colorScale" priority="4">
      <colorScale>
        <cfvo type="min"/>
        <cfvo type="percentile" val="50"/>
        <cfvo type="max"/>
        <color rgb="FF5A8AC6"/>
        <color rgb="FFFCFCFF"/>
        <color rgb="FFF8696B"/>
      </colorScale>
    </cfRule>
  </conditionalFormatting>
  <conditionalFormatting sqref="A166:B166 A167:A196">
    <cfRule type="dataBar" priority="1">
      <dataBar>
        <cfvo type="min"/>
        <cfvo type="max"/>
        <color rgb="FF638EC6"/>
      </dataBar>
      <extLst>
        <ext xmlns:x14="http://schemas.microsoft.com/office/spreadsheetml/2009/9/main" uri="{B025F937-C7B1-47D3-B67F-A62EFF666E3E}">
          <x14:id>{7A84631C-FB1E-40AD-A89A-95A4C25D8EEF}</x14:id>
        </ext>
      </extLst>
    </cfRule>
  </conditionalFormatting>
  <pageMargins left="0.7" right="0.7" top="0.75" bottom="0.75" header="0.3" footer="0.3"/>
  <pageSetup orientation="portrait" r:id="rId11"/>
  <drawing r:id="rId12"/>
  <extLst>
    <ext xmlns:x14="http://schemas.microsoft.com/office/spreadsheetml/2009/9/main" uri="{78C0D931-6437-407d-A8EE-F0AAD7539E65}">
      <x14:conditionalFormattings>
        <x14:conditionalFormatting xmlns:xm="http://schemas.microsoft.com/office/excel/2006/main">
          <x14:cfRule type="dataBar" id="{C74EDB39-FB7C-4598-85BE-B13700943529}">
            <x14:dataBar minLength="0" maxLength="100" border="1" negativeBarBorderColorSameAsPositive="0">
              <x14:cfvo type="autoMin"/>
              <x14:cfvo type="autoMax"/>
              <x14:borderColor rgb="FF008AEF"/>
              <x14:negativeFillColor rgb="FFFF0000"/>
              <x14:negativeBorderColor rgb="FFFF0000"/>
              <x14:axisColor rgb="FF000000"/>
            </x14:dataBar>
          </x14:cfRule>
          <xm:sqref>A24:B24 A25:A29</xm:sqref>
        </x14:conditionalFormatting>
        <x14:conditionalFormatting xmlns:xm="http://schemas.microsoft.com/office/excel/2006/main">
          <x14:cfRule type="dataBar" id="{26F92DAF-2532-40B9-A280-9322195A7148}">
            <x14:dataBar minLength="0" maxLength="100" border="1" negativeBarBorderColorSameAsPositive="0">
              <x14:cfvo type="autoMin"/>
              <x14:cfvo type="autoMax"/>
              <x14:borderColor rgb="FF638EC6"/>
              <x14:negativeFillColor rgb="FFFF0000"/>
              <x14:negativeBorderColor rgb="FFFF0000"/>
              <x14:axisColor rgb="FF000000"/>
            </x14:dataBar>
          </x14:cfRule>
          <xm:sqref>A92:B92 A93:A101</xm:sqref>
        </x14:conditionalFormatting>
        <x14:conditionalFormatting xmlns:xm="http://schemas.microsoft.com/office/excel/2006/main">
          <x14:cfRule type="dataBar" id="{7A84631C-FB1E-40AD-A89A-95A4C25D8EEF}">
            <x14:dataBar minLength="0" maxLength="100" border="1" negativeBarBorderColorSameAsPositive="0">
              <x14:cfvo type="autoMin"/>
              <x14:cfvo type="autoMax"/>
              <x14:borderColor rgb="FF638EC6"/>
              <x14:negativeFillColor rgb="FFFF0000"/>
              <x14:negativeBorderColor rgb="FFFF0000"/>
              <x14:axisColor rgb="FF000000"/>
            </x14:dataBar>
          </x14:cfRule>
          <xm:sqref>A166:B166 A167:A196</xm:sqref>
        </x14:conditionalFormatting>
      </x14:conditionalFormattings>
    </ext>
    <ext xmlns:x14="http://schemas.microsoft.com/office/spreadsheetml/2009/9/main" uri="{A8765BA9-456A-4dab-B4F3-ACF838C121DE}">
      <x14:slicerList>
        <x14:slicer r:id="rId1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70" zoomScaleNormal="70" workbookViewId="0">
      <selection activeCell="J6" sqref="J6"/>
    </sheetView>
  </sheetViews>
  <sheetFormatPr defaultRowHeight="14.4" x14ac:dyDescent="0.3"/>
  <cols>
    <col min="1" max="16384" width="8.88671875" style="1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Supermarket_Data</vt:lpstr>
      <vt:lpstr>QUESTIONS</vt:lpstr>
      <vt:lpstr> PIVOT TABLES &amp; CHARTS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cp:lastModifiedBy>
  <dcterms:created xsi:type="dcterms:W3CDTF">2026-02-04T16:53:46Z</dcterms:created>
  <dcterms:modified xsi:type="dcterms:W3CDTF">2026-10-13T12:47:54Z</dcterms:modified>
</cp:coreProperties>
</file>